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equenziamento illumina\2023\"/>
    </mc:Choice>
  </mc:AlternateContent>
  <xr:revisionPtr revIDLastSave="0" documentId="13_ncr:1_{7465FBA0-CAD6-47A4-95B1-CBC2A56FBE77}" xr6:coauthVersionLast="47" xr6:coauthVersionMax="47" xr10:uidLastSave="{00000000-0000-0000-0000-000000000000}"/>
  <bookViews>
    <workbookView xWindow="38505" yWindow="1410" windowWidth="28800" windowHeight="15345" xr2:uid="{876073B1-2269-47EF-B40B-B1BAA316888F}"/>
  </bookViews>
  <sheets>
    <sheet name="Quantificazione DNA - Tabella " sheetId="1" r:id="rId1"/>
    <sheet name="Library Quantification" sheetId="4" r:id="rId2"/>
  </sheets>
  <definedNames>
    <definedName name="_xlnm._FilterDatabase" localSheetId="0" hidden="1">'Quantificazione DNA - Tabella '!$B$1:$J$2</definedName>
    <definedName name="_xlnm.Print_Area" localSheetId="1">'Library Quantification'!$A$2:$J$7</definedName>
    <definedName name="_xlnm.Print_Area" localSheetId="0">'Quantificazione DNA - Tabella '!$A$1:$J$2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4" l="1"/>
  <c r="G15" i="1"/>
  <c r="G14" i="1"/>
  <c r="G13" i="1"/>
  <c r="G9" i="1"/>
  <c r="G28" i="1"/>
  <c r="G5" i="1"/>
  <c r="G4" i="1"/>
  <c r="G6" i="1"/>
  <c r="G7" i="1"/>
  <c r="G8" i="1"/>
  <c r="G27" i="1"/>
  <c r="G10" i="1"/>
  <c r="G11" i="1"/>
  <c r="G29" i="1"/>
  <c r="G12" i="1"/>
  <c r="G16" i="1"/>
  <c r="H6" i="1"/>
  <c r="H7" i="1"/>
  <c r="H8" i="1"/>
  <c r="H27" i="1"/>
  <c r="H10" i="1"/>
  <c r="H11" i="1"/>
  <c r="H29" i="1"/>
  <c r="H12" i="1"/>
  <c r="H16" i="1"/>
  <c r="H3" i="1"/>
  <c r="G3" i="1"/>
  <c r="F8" i="4"/>
  <c r="G8" i="4"/>
  <c r="H8" i="4"/>
  <c r="F9" i="4"/>
  <c r="G9" i="4"/>
  <c r="H9" i="4"/>
  <c r="F10" i="4"/>
  <c r="G10" i="4"/>
  <c r="H10" i="4"/>
  <c r="F11" i="4"/>
  <c r="G11" i="4"/>
  <c r="H11" i="4"/>
  <c r="F12" i="4"/>
  <c r="G12" i="4"/>
  <c r="H12" i="4"/>
  <c r="F13" i="4"/>
  <c r="G13" i="4"/>
  <c r="H13" i="4"/>
  <c r="F14" i="4"/>
  <c r="G14" i="4"/>
  <c r="H14" i="4"/>
  <c r="F15" i="4"/>
  <c r="G15" i="4"/>
  <c r="H15" i="4"/>
  <c r="F16" i="4"/>
  <c r="G16" i="4"/>
  <c r="H16" i="4"/>
  <c r="F17" i="4"/>
  <c r="G17" i="4"/>
  <c r="H17" i="4"/>
  <c r="F18" i="4"/>
  <c r="G18" i="4"/>
  <c r="H18" i="4"/>
  <c r="F19" i="4"/>
  <c r="G19" i="4"/>
  <c r="H19" i="4"/>
  <c r="F20" i="4"/>
  <c r="G20" i="4"/>
  <c r="H20" i="4"/>
  <c r="F21" i="4"/>
  <c r="G21" i="4"/>
  <c r="H21" i="4"/>
  <c r="F22" i="4"/>
  <c r="G22" i="4"/>
  <c r="H22" i="4"/>
  <c r="F23" i="4"/>
  <c r="G23" i="4"/>
  <c r="H23" i="4"/>
  <c r="F24" i="4"/>
  <c r="G24" i="4"/>
  <c r="H24" i="4"/>
  <c r="F25" i="4"/>
  <c r="G25" i="4"/>
  <c r="H25" i="4"/>
  <c r="F26" i="4"/>
  <c r="G26" i="4"/>
  <c r="H26" i="4"/>
  <c r="F27" i="4"/>
  <c r="F5" i="4"/>
  <c r="G5" i="4"/>
  <c r="H5" i="4"/>
  <c r="F6" i="4"/>
  <c r="G6" i="4"/>
  <c r="H6" i="4"/>
  <c r="F7" i="4"/>
  <c r="G7" i="4"/>
  <c r="H7" i="4"/>
  <c r="F3" i="4"/>
  <c r="G3" i="4"/>
  <c r="H3" i="4"/>
  <c r="F4" i="4"/>
  <c r="G4" i="4"/>
  <c r="H4" i="4"/>
  <c r="H15" i="1"/>
  <c r="H14" i="1"/>
  <c r="H9" i="1"/>
  <c r="H5" i="1"/>
  <c r="H13" i="1"/>
  <c r="H28" i="1"/>
  <c r="H4" i="1"/>
</calcChain>
</file>

<file path=xl/sharedStrings.xml><?xml version="1.0" encoding="utf-8"?>
<sst xmlns="http://schemas.openxmlformats.org/spreadsheetml/2006/main" count="154" uniqueCount="49">
  <si>
    <t>Sample</t>
  </si>
  <si>
    <t>Estratto ng/ul</t>
  </si>
  <si>
    <t>microliti da tag (ul)</t>
  </si>
  <si>
    <t>H2O (30 ul max)</t>
  </si>
  <si>
    <t>DNA Tag (ng/μl)</t>
  </si>
  <si>
    <t>Index</t>
  </si>
  <si>
    <t>1</t>
  </si>
  <si>
    <t xml:space="preserve">Castiglione </t>
  </si>
  <si>
    <t>H705</t>
  </si>
  <si>
    <t>H503</t>
  </si>
  <si>
    <t>2</t>
  </si>
  <si>
    <t>Novara</t>
  </si>
  <si>
    <t>H505</t>
  </si>
  <si>
    <t>3</t>
  </si>
  <si>
    <t>17/10_castiglione</t>
  </si>
  <si>
    <t>H506</t>
  </si>
  <si>
    <t>4</t>
  </si>
  <si>
    <t>17/10_novara</t>
  </si>
  <si>
    <t>H517</t>
  </si>
  <si>
    <t>5</t>
  </si>
  <si>
    <t>H706</t>
  </si>
  <si>
    <t>6</t>
  </si>
  <si>
    <t>7</t>
  </si>
  <si>
    <t>8</t>
  </si>
  <si>
    <t>9</t>
  </si>
  <si>
    <t>H707</t>
  </si>
  <si>
    <t>10</t>
  </si>
  <si>
    <t>11</t>
  </si>
  <si>
    <t>H710</t>
  </si>
  <si>
    <t>12</t>
  </si>
  <si>
    <t>13</t>
  </si>
  <si>
    <t>H714</t>
  </si>
  <si>
    <t>14</t>
  </si>
  <si>
    <t>h2o</t>
  </si>
  <si>
    <t>15</t>
  </si>
  <si>
    <t>16</t>
  </si>
  <si>
    <t>17</t>
  </si>
  <si>
    <t>18</t>
  </si>
  <si>
    <t>19</t>
  </si>
  <si>
    <t>20</t>
  </si>
  <si>
    <t>21</t>
  </si>
  <si>
    <t>ID</t>
  </si>
  <si>
    <t>ng/ul</t>
  </si>
  <si>
    <t>Average size bp</t>
  </si>
  <si>
    <t>Library [nM]</t>
  </si>
  <si>
    <t>diluire a 4 nM in 50 ul</t>
  </si>
  <si>
    <t>RSB</t>
  </si>
  <si>
    <t>POOL</t>
  </si>
  <si>
    <t>MI MANCA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</si>
</sst>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410]General"/>
    <numFmt numFmtId="165" formatCode="[$-410]0.00"/>
    <numFmt numFmtId="166" formatCode="0.0"/>
    <numFmt numFmtId="167" formatCode="[$€-410]&quot; &quot;#,##0.00;[Red]&quot;-&quot;[$€-410]&quot; &quot;#,##0.00"/>
  </numFmts>
  <fonts count="23">
    <font>
      <sz val="11"/>
      <color theme="1"/>
      <name val="Arial"/>
      <family val="2"/>
    </font>
    <font>
      <sz val="11"/>
      <color indexed="8"/>
      <name val="Calibri"/>
      <family val="2"/>
    </font>
    <font>
      <sz val="8"/>
      <name val="Arial"/>
      <family val="2"/>
    </font>
    <font>
      <sz val="12"/>
      <name val="Calibri"/>
      <family val="2"/>
    </font>
    <font>
      <sz val="12"/>
      <name val="Cambria"/>
      <family val="1"/>
    </font>
    <font>
      <sz val="11"/>
      <name val="Calibri"/>
      <family val="2"/>
    </font>
    <font>
      <b/>
      <sz val="12"/>
      <name val="Cambria"/>
      <family val="1"/>
    </font>
    <font>
      <sz val="11"/>
      <color theme="1"/>
      <name val="Calibri"/>
      <family val="2"/>
    </font>
    <font>
      <b/>
      <i/>
      <sz val="16"/>
      <color theme="1"/>
      <name val="Arial"/>
      <family val="2"/>
    </font>
    <font>
      <b/>
      <i/>
      <u/>
      <sz val="11"/>
      <color theme="1"/>
      <name val="Arial"/>
      <family val="2"/>
    </font>
    <font>
      <b/>
      <sz val="11"/>
      <color theme="6" tint="-0.249977111117893"/>
      <name val="Calibri"/>
      <family val="2"/>
    </font>
    <font>
      <b/>
      <sz val="10"/>
      <color theme="1"/>
      <name val="Arial1"/>
    </font>
    <font>
      <b/>
      <sz val="11"/>
      <color rgb="FFFF0000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FF0000"/>
      <name val="Calibri"/>
      <family val="2"/>
    </font>
    <font>
      <b/>
      <sz val="12"/>
      <color theme="6" tint="-0.249977111117893"/>
      <name val="Calibri"/>
      <family val="2"/>
    </font>
    <font>
      <b/>
      <sz val="12"/>
      <color rgb="FFFF0000"/>
      <name val="Cambria"/>
      <family val="1"/>
    </font>
    <font>
      <b/>
      <sz val="12"/>
      <color theme="6" tint="-0.249977111117893"/>
      <name val="Cambria"/>
      <family val="1"/>
    </font>
    <font>
      <sz val="11"/>
      <color rgb="FF000000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rgb="FFFFFFFF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rgb="FFFFFFFF"/>
      </patternFill>
    </fill>
    <fill>
      <patternFill patternType="solid">
        <fgColor theme="9" tint="0.79998168889431442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rgb="FFFDEADA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FFFFFF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indexed="64"/>
      </top>
      <bottom/>
      <diagonal/>
    </border>
  </borders>
  <cellStyleXfs count="7">
    <xf numFmtId="0" fontId="0" fillId="0" borderId="0"/>
    <xf numFmtId="0" fontId="7" fillId="0" borderId="0"/>
    <xf numFmtId="0" fontId="1" fillId="0" borderId="0"/>
    <xf numFmtId="0" fontId="8" fillId="0" borderId="0">
      <alignment horizontal="center"/>
    </xf>
    <xf numFmtId="0" fontId="8" fillId="0" borderId="0">
      <alignment horizontal="center" textRotation="90"/>
    </xf>
    <xf numFmtId="0" fontId="9" fillId="0" borderId="0"/>
    <xf numFmtId="167" fontId="9" fillId="0" borderId="0"/>
  </cellStyleXfs>
  <cellXfs count="101">
    <xf numFmtId="0" fontId="0" fillId="0" borderId="0" xfId="0"/>
    <xf numFmtId="164" fontId="7" fillId="0" borderId="0" xfId="1" applyNumberFormat="1"/>
    <xf numFmtId="164" fontId="7" fillId="2" borderId="22" xfId="1" applyNumberFormat="1" applyFill="1" applyBorder="1" applyAlignment="1">
      <alignment horizontal="center"/>
    </xf>
    <xf numFmtId="164" fontId="7" fillId="0" borderId="0" xfId="1" applyNumberFormat="1" applyAlignment="1">
      <alignment horizontal="center"/>
    </xf>
    <xf numFmtId="165" fontId="10" fillId="0" borderId="1" xfId="1" applyNumberFormat="1" applyFont="1" applyBorder="1" applyAlignment="1">
      <alignment horizontal="center"/>
    </xf>
    <xf numFmtId="164" fontId="11" fillId="2" borderId="23" xfId="1" applyNumberFormat="1" applyFont="1" applyFill="1" applyBorder="1" applyAlignment="1">
      <alignment horizontal="center" vertical="center"/>
    </xf>
    <xf numFmtId="2" fontId="12" fillId="0" borderId="1" xfId="1" applyNumberFormat="1" applyFont="1" applyBorder="1" applyAlignment="1">
      <alignment horizontal="center"/>
    </xf>
    <xf numFmtId="2" fontId="7" fillId="0" borderId="0" xfId="1" applyNumberFormat="1" applyAlignment="1">
      <alignment horizontal="center"/>
    </xf>
    <xf numFmtId="164" fontId="7" fillId="0" borderId="0" xfId="1" applyNumberFormat="1" applyAlignment="1">
      <alignment horizontal="left"/>
    </xf>
    <xf numFmtId="0" fontId="0" fillId="0" borderId="0" xfId="0" applyAlignment="1">
      <alignment horizontal="center"/>
    </xf>
    <xf numFmtId="164" fontId="13" fillId="2" borderId="2" xfId="1" applyNumberFormat="1" applyFont="1" applyFill="1" applyBorder="1"/>
    <xf numFmtId="49" fontId="14" fillId="3" borderId="1" xfId="1" applyNumberFormat="1" applyFont="1" applyFill="1" applyBorder="1" applyAlignment="1">
      <alignment horizontal="center" vertical="center"/>
    </xf>
    <xf numFmtId="49" fontId="3" fillId="3" borderId="1" xfId="1" applyNumberFormat="1" applyFont="1" applyFill="1" applyBorder="1" applyAlignment="1">
      <alignment horizontal="center" vertical="center"/>
    </xf>
    <xf numFmtId="49" fontId="3" fillId="3" borderId="2" xfId="1" applyNumberFormat="1" applyFont="1" applyFill="1" applyBorder="1" applyAlignment="1">
      <alignment horizontal="center" vertical="center" wrapText="1"/>
    </xf>
    <xf numFmtId="2" fontId="13" fillId="3" borderId="1" xfId="1" applyNumberFormat="1" applyFont="1" applyFill="1" applyBorder="1" applyAlignment="1">
      <alignment horizontal="center" vertical="center"/>
    </xf>
    <xf numFmtId="49" fontId="15" fillId="3" borderId="24" xfId="1" applyNumberFormat="1" applyFont="1" applyFill="1" applyBorder="1" applyAlignment="1">
      <alignment horizontal="center" vertical="center" wrapText="1"/>
    </xf>
    <xf numFmtId="49" fontId="16" fillId="4" borderId="1" xfId="1" applyNumberFormat="1" applyFont="1" applyFill="1" applyBorder="1" applyAlignment="1">
      <alignment horizontal="center" vertical="center"/>
    </xf>
    <xf numFmtId="1" fontId="4" fillId="0" borderId="1" xfId="2" applyNumberFormat="1" applyFont="1" applyBorder="1" applyAlignment="1">
      <alignment horizontal="center"/>
    </xf>
    <xf numFmtId="49" fontId="11" fillId="5" borderId="3" xfId="1" applyNumberFormat="1" applyFont="1" applyFill="1" applyBorder="1" applyAlignment="1">
      <alignment horizontal="center"/>
    </xf>
    <xf numFmtId="2" fontId="3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center" vertical="center"/>
    </xf>
    <xf numFmtId="166" fontId="17" fillId="0" borderId="1" xfId="1" applyNumberFormat="1" applyFont="1" applyBorder="1" applyAlignment="1">
      <alignment horizontal="center" vertical="center"/>
    </xf>
    <xf numFmtId="166" fontId="18" fillId="0" borderId="1" xfId="1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4" xfId="0" applyFont="1" applyBorder="1"/>
    <xf numFmtId="164" fontId="14" fillId="4" borderId="5" xfId="1" applyNumberFormat="1" applyFont="1" applyFill="1" applyBorder="1" applyAlignment="1">
      <alignment horizontal="center" vertical="center"/>
    </xf>
    <xf numFmtId="0" fontId="20" fillId="0" borderId="0" xfId="0" applyFont="1"/>
    <xf numFmtId="164" fontId="5" fillId="6" borderId="6" xfId="1" applyNumberFormat="1" applyFont="1" applyFill="1" applyBorder="1" applyAlignment="1">
      <alignment horizontal="center"/>
    </xf>
    <xf numFmtId="2" fontId="3" fillId="0" borderId="7" xfId="1" applyNumberFormat="1" applyFont="1" applyBorder="1" applyAlignment="1">
      <alignment horizontal="center"/>
    </xf>
    <xf numFmtId="1" fontId="4" fillId="0" borderId="7" xfId="2" applyNumberFormat="1" applyFont="1" applyBorder="1" applyAlignment="1">
      <alignment horizontal="center"/>
    </xf>
    <xf numFmtId="166" fontId="0" fillId="0" borderId="0" xfId="0" applyNumberFormat="1"/>
    <xf numFmtId="164" fontId="7" fillId="5" borderId="6" xfId="1" applyNumberFormat="1" applyFill="1" applyBorder="1" applyAlignment="1">
      <alignment horizontal="center"/>
    </xf>
    <xf numFmtId="164" fontId="7" fillId="5" borderId="8" xfId="1" applyNumberFormat="1" applyFill="1" applyBorder="1" applyAlignment="1">
      <alignment horizontal="center"/>
    </xf>
    <xf numFmtId="164" fontId="7" fillId="5" borderId="9" xfId="1" applyNumberFormat="1" applyFill="1" applyBorder="1" applyAlignment="1">
      <alignment horizontal="center"/>
    </xf>
    <xf numFmtId="164" fontId="7" fillId="5" borderId="10" xfId="1" applyNumberFormat="1" applyFill="1" applyBorder="1" applyAlignment="1">
      <alignment horizontal="center"/>
    </xf>
    <xf numFmtId="164" fontId="7" fillId="5" borderId="11" xfId="1" applyNumberFormat="1" applyFill="1" applyBorder="1" applyAlignment="1">
      <alignment horizontal="center"/>
    </xf>
    <xf numFmtId="164" fontId="7" fillId="5" borderId="12" xfId="1" applyNumberFormat="1" applyFill="1" applyBorder="1" applyAlignment="1">
      <alignment horizontal="center"/>
    </xf>
    <xf numFmtId="164" fontId="7" fillId="7" borderId="6" xfId="1" applyNumberFormat="1" applyFill="1" applyBorder="1" applyAlignment="1">
      <alignment horizontal="center"/>
    </xf>
    <xf numFmtId="164" fontId="7" fillId="7" borderId="8" xfId="1" applyNumberFormat="1" applyFill="1" applyBorder="1" applyAlignment="1">
      <alignment horizontal="center"/>
    </xf>
    <xf numFmtId="164" fontId="7" fillId="7" borderId="9" xfId="1" applyNumberFormat="1" applyFill="1" applyBorder="1" applyAlignment="1">
      <alignment horizontal="center"/>
    </xf>
    <xf numFmtId="164" fontId="7" fillId="7" borderId="10" xfId="1" applyNumberFormat="1" applyFill="1" applyBorder="1" applyAlignment="1">
      <alignment horizontal="center"/>
    </xf>
    <xf numFmtId="164" fontId="7" fillId="8" borderId="9" xfId="1" applyNumberFormat="1" applyFill="1" applyBorder="1" applyAlignment="1">
      <alignment horizontal="center"/>
    </xf>
    <xf numFmtId="164" fontId="7" fillId="8" borderId="10" xfId="1" applyNumberFormat="1" applyFill="1" applyBorder="1" applyAlignment="1">
      <alignment horizontal="center"/>
    </xf>
    <xf numFmtId="164" fontId="7" fillId="9" borderId="6" xfId="1" applyNumberFormat="1" applyFill="1" applyBorder="1" applyAlignment="1">
      <alignment horizontal="center"/>
    </xf>
    <xf numFmtId="164" fontId="7" fillId="9" borderId="9" xfId="1" applyNumberFormat="1" applyFill="1" applyBorder="1" applyAlignment="1">
      <alignment horizontal="center"/>
    </xf>
    <xf numFmtId="164" fontId="7" fillId="9" borderId="11" xfId="1" applyNumberFormat="1" applyFill="1" applyBorder="1" applyAlignment="1">
      <alignment horizontal="center"/>
    </xf>
    <xf numFmtId="0" fontId="5" fillId="10" borderId="9" xfId="2" applyFont="1" applyFill="1" applyBorder="1" applyAlignment="1">
      <alignment horizontal="center"/>
    </xf>
    <xf numFmtId="0" fontId="5" fillId="10" borderId="13" xfId="2" applyFont="1" applyFill="1" applyBorder="1" applyAlignment="1">
      <alignment horizontal="center"/>
    </xf>
    <xf numFmtId="164" fontId="5" fillId="6" borderId="9" xfId="1" applyNumberFormat="1" applyFont="1" applyFill="1" applyBorder="1" applyAlignment="1">
      <alignment horizontal="center"/>
    </xf>
    <xf numFmtId="164" fontId="5" fillId="6" borderId="13" xfId="1" applyNumberFormat="1" applyFont="1" applyFill="1" applyBorder="1" applyAlignment="1">
      <alignment horizontal="center"/>
    </xf>
    <xf numFmtId="164" fontId="5" fillId="9" borderId="8" xfId="1" applyNumberFormat="1" applyFont="1" applyFill="1" applyBorder="1" applyAlignment="1">
      <alignment horizontal="center"/>
    </xf>
    <xf numFmtId="164" fontId="5" fillId="9" borderId="10" xfId="1" applyNumberFormat="1" applyFont="1" applyFill="1" applyBorder="1" applyAlignment="1">
      <alignment horizontal="center"/>
    </xf>
    <xf numFmtId="164" fontId="5" fillId="9" borderId="12" xfId="1" applyNumberFormat="1" applyFont="1" applyFill="1" applyBorder="1" applyAlignment="1">
      <alignment horizontal="center"/>
    </xf>
    <xf numFmtId="0" fontId="21" fillId="11" borderId="4" xfId="0" applyFont="1" applyFill="1" applyBorder="1" applyAlignment="1">
      <alignment horizontal="center"/>
    </xf>
    <xf numFmtId="2" fontId="6" fillId="11" borderId="1" xfId="1" applyNumberFormat="1" applyFont="1" applyFill="1" applyBorder="1" applyAlignment="1">
      <alignment horizontal="center" vertical="center"/>
    </xf>
    <xf numFmtId="164" fontId="7" fillId="0" borderId="1" xfId="1" applyNumberFormat="1" applyBorder="1" applyAlignment="1">
      <alignment horizontal="center"/>
    </xf>
    <xf numFmtId="2" fontId="12" fillId="0" borderId="5" xfId="1" applyNumberFormat="1" applyFont="1" applyBorder="1" applyAlignment="1">
      <alignment horizontal="center"/>
    </xf>
    <xf numFmtId="165" fontId="10" fillId="0" borderId="5" xfId="1" applyNumberFormat="1" applyFont="1" applyBorder="1" applyAlignment="1">
      <alignment horizontal="center"/>
    </xf>
    <xf numFmtId="2" fontId="5" fillId="0" borderId="14" xfId="1" applyNumberFormat="1" applyFont="1" applyBorder="1" applyAlignment="1">
      <alignment horizontal="center" vertical="center"/>
    </xf>
    <xf numFmtId="2" fontId="7" fillId="0" borderId="1" xfId="1" applyNumberFormat="1" applyBorder="1" applyAlignment="1">
      <alignment horizontal="center"/>
    </xf>
    <xf numFmtId="164" fontId="7" fillId="0" borderId="1" xfId="1" applyNumberFormat="1" applyBorder="1"/>
    <xf numFmtId="49" fontId="11" fillId="5" borderId="15" xfId="1" applyNumberFormat="1" applyFont="1" applyFill="1" applyBorder="1" applyAlignment="1">
      <alignment horizontal="center"/>
    </xf>
    <xf numFmtId="164" fontId="7" fillId="0" borderId="1" xfId="1" applyNumberFormat="1" applyBorder="1" applyAlignment="1">
      <alignment horizontal="left"/>
    </xf>
    <xf numFmtId="2" fontId="5" fillId="0" borderId="1" xfId="1" applyNumberFormat="1" applyFont="1" applyBorder="1" applyAlignment="1">
      <alignment horizontal="center" vertical="center"/>
    </xf>
    <xf numFmtId="164" fontId="7" fillId="0" borderId="7" xfId="1" applyNumberFormat="1" applyBorder="1" applyAlignment="1">
      <alignment horizontal="center"/>
    </xf>
    <xf numFmtId="2" fontId="7" fillId="0" borderId="5" xfId="1" applyNumberFormat="1" applyBorder="1" applyAlignment="1">
      <alignment horizontal="center"/>
    </xf>
    <xf numFmtId="165" fontId="10" fillId="0" borderId="16" xfId="1" applyNumberFormat="1" applyFont="1" applyBorder="1" applyAlignment="1">
      <alignment horizontal="center"/>
    </xf>
    <xf numFmtId="2" fontId="7" fillId="0" borderId="7" xfId="1" applyNumberFormat="1" applyBorder="1" applyAlignment="1">
      <alignment horizontal="center"/>
    </xf>
    <xf numFmtId="165" fontId="10" fillId="0" borderId="17" xfId="1" applyNumberFormat="1" applyFont="1" applyBorder="1" applyAlignment="1">
      <alignment horizontal="center"/>
    </xf>
    <xf numFmtId="2" fontId="7" fillId="0" borderId="18" xfId="1" applyNumberFormat="1" applyBorder="1" applyAlignment="1">
      <alignment horizontal="center"/>
    </xf>
    <xf numFmtId="165" fontId="10" fillId="0" borderId="19" xfId="1" applyNumberFormat="1" applyFont="1" applyBorder="1" applyAlignment="1">
      <alignment horizontal="center"/>
    </xf>
    <xf numFmtId="2" fontId="5" fillId="0" borderId="19" xfId="1" applyNumberFormat="1" applyFont="1" applyBorder="1" applyAlignment="1">
      <alignment horizontal="center" vertical="center"/>
    </xf>
    <xf numFmtId="164" fontId="22" fillId="0" borderId="5" xfId="1" applyNumberFormat="1" applyFont="1" applyBorder="1" applyAlignment="1">
      <alignment horizontal="left"/>
    </xf>
    <xf numFmtId="164" fontId="22" fillId="0" borderId="16" xfId="1" applyNumberFormat="1" applyFont="1" applyBorder="1" applyAlignment="1">
      <alignment horizontal="left"/>
    </xf>
    <xf numFmtId="14" fontId="7" fillId="0" borderId="1" xfId="1" applyNumberFormat="1" applyBorder="1" applyAlignment="1">
      <alignment horizontal="left"/>
    </xf>
    <xf numFmtId="14" fontId="7" fillId="0" borderId="7" xfId="1" applyNumberFormat="1" applyBorder="1" applyAlignment="1">
      <alignment horizontal="left"/>
    </xf>
    <xf numFmtId="164" fontId="7" fillId="12" borderId="1" xfId="1" applyNumberFormat="1" applyFill="1" applyBorder="1" applyAlignment="1">
      <alignment horizontal="center"/>
    </xf>
    <xf numFmtId="164" fontId="7" fillId="12" borderId="1" xfId="1" applyNumberFormat="1" applyFill="1" applyBorder="1" applyAlignment="1">
      <alignment horizontal="left"/>
    </xf>
    <xf numFmtId="14" fontId="7" fillId="12" borderId="1" xfId="1" applyNumberFormat="1" applyFill="1" applyBorder="1" applyAlignment="1">
      <alignment horizontal="left"/>
    </xf>
    <xf numFmtId="165" fontId="10" fillId="12" borderId="5" xfId="1" applyNumberFormat="1" applyFont="1" applyFill="1" applyBorder="1" applyAlignment="1">
      <alignment horizontal="center"/>
    </xf>
    <xf numFmtId="2" fontId="7" fillId="12" borderId="1" xfId="1" applyNumberFormat="1" applyFill="1" applyBorder="1" applyAlignment="1">
      <alignment horizontal="center"/>
    </xf>
    <xf numFmtId="164" fontId="7" fillId="13" borderId="9" xfId="1" applyNumberFormat="1" applyFill="1" applyBorder="1" applyAlignment="1">
      <alignment horizontal="center"/>
    </xf>
    <xf numFmtId="164" fontId="7" fillId="13" borderId="10" xfId="1" applyNumberFormat="1" applyFill="1" applyBorder="1" applyAlignment="1">
      <alignment horizontal="center"/>
    </xf>
    <xf numFmtId="164" fontId="7" fillId="13" borderId="11" xfId="1" applyNumberFormat="1" applyFill="1" applyBorder="1" applyAlignment="1">
      <alignment horizontal="center"/>
    </xf>
    <xf numFmtId="164" fontId="7" fillId="13" borderId="12" xfId="1" applyNumberFormat="1" applyFill="1" applyBorder="1" applyAlignment="1">
      <alignment horizontal="center"/>
    </xf>
    <xf numFmtId="2" fontId="5" fillId="12" borderId="1" xfId="1" applyNumberFormat="1" applyFont="1" applyFill="1" applyBorder="1" applyAlignment="1">
      <alignment horizontal="center" vertical="center"/>
    </xf>
    <xf numFmtId="49" fontId="11" fillId="0" borderId="1" xfId="1" applyNumberFormat="1" applyFont="1" applyBorder="1" applyAlignment="1">
      <alignment horizontal="center" vertical="center"/>
    </xf>
    <xf numFmtId="49" fontId="11" fillId="0" borderId="5" xfId="1" applyNumberFormat="1" applyFont="1" applyBorder="1" applyAlignment="1">
      <alignment horizontal="center" vertical="center"/>
    </xf>
    <xf numFmtId="164" fontId="22" fillId="0" borderId="5" xfId="1" applyNumberFormat="1" applyFont="1" applyBorder="1" applyAlignment="1">
      <alignment horizontal="center" vertical="center" wrapText="1"/>
    </xf>
    <xf numFmtId="164" fontId="22" fillId="0" borderId="16" xfId="1" applyNumberFormat="1" applyFont="1" applyBorder="1" applyAlignment="1">
      <alignment horizontal="center" vertical="center" wrapText="1"/>
    </xf>
    <xf numFmtId="49" fontId="22" fillId="0" borderId="1" xfId="1" applyNumberFormat="1" applyFont="1" applyBorder="1" applyAlignment="1">
      <alignment horizontal="center" vertical="center"/>
    </xf>
    <xf numFmtId="49" fontId="22" fillId="0" borderId="5" xfId="1" applyNumberFormat="1" applyFont="1" applyBorder="1" applyAlignment="1">
      <alignment horizontal="center" vertical="center"/>
    </xf>
    <xf numFmtId="49" fontId="22" fillId="0" borderId="20" xfId="1" applyNumberFormat="1" applyFont="1" applyBorder="1" applyAlignment="1">
      <alignment horizontal="center" vertical="center"/>
    </xf>
    <xf numFmtId="49" fontId="22" fillId="0" borderId="21" xfId="1" applyNumberFormat="1" applyFont="1" applyBorder="1" applyAlignment="1">
      <alignment horizontal="center" vertical="center"/>
    </xf>
    <xf numFmtId="164" fontId="22" fillId="0" borderId="5" xfId="1" applyNumberFormat="1" applyFont="1" applyBorder="1" applyAlignment="1">
      <alignment horizontal="left"/>
    </xf>
    <xf numFmtId="164" fontId="22" fillId="0" borderId="7" xfId="1" applyNumberFormat="1" applyFont="1" applyBorder="1" applyAlignment="1">
      <alignment horizontal="left"/>
    </xf>
    <xf numFmtId="49" fontId="22" fillId="0" borderId="16" xfId="1" applyNumberFormat="1" applyFont="1" applyBorder="1" applyAlignment="1">
      <alignment horizontal="center" vertical="center"/>
    </xf>
    <xf numFmtId="2" fontId="22" fillId="0" borderId="5" xfId="1" applyNumberFormat="1" applyFont="1" applyBorder="1" applyAlignment="1">
      <alignment horizontal="center" vertical="center"/>
    </xf>
    <xf numFmtId="2" fontId="22" fillId="0" borderId="16" xfId="1" applyNumberFormat="1" applyFont="1" applyBorder="1" applyAlignment="1">
      <alignment horizontal="center" vertical="center"/>
    </xf>
    <xf numFmtId="164" fontId="22" fillId="0" borderId="5" xfId="1" applyNumberFormat="1" applyFont="1" applyBorder="1" applyAlignment="1">
      <alignment horizontal="center" vertical="center"/>
    </xf>
    <xf numFmtId="164" fontId="22" fillId="0" borderId="16" xfId="1" applyNumberFormat="1" applyFont="1" applyBorder="1" applyAlignment="1">
      <alignment horizontal="center" vertical="center"/>
    </xf>
  </cellXfs>
  <cellStyles count="7">
    <cellStyle name="Excel Built-in Normal" xfId="1" xr:uid="{9C909619-A2F4-4678-9567-299544A796CC}"/>
    <cellStyle name="Excel Built-in Normal 1" xfId="2" xr:uid="{ECBEAFFC-5FBA-4B5C-8832-84085C7061FE}"/>
    <cellStyle name="Heading" xfId="3" xr:uid="{74EFD3E4-FCD2-42A5-B84D-F7C75F3551E5}"/>
    <cellStyle name="Heading1" xfId="4" xr:uid="{9459E09E-0617-4C94-BCF9-746F6CDBADDC}"/>
    <cellStyle name="Normale" xfId="0" builtinId="0" customBuiltin="1"/>
    <cellStyle name="Result" xfId="5" xr:uid="{947C77FC-D47D-48AF-BF05-B1E5A3F83F0B}"/>
    <cellStyle name="Result2" xfId="6" xr:uid="{18169874-C1D3-4189-9BAA-0DF0CE4B75A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F5612-4375-410C-98E3-A03905B9A793}">
  <sheetPr>
    <pageSetUpPr fitToPage="1"/>
  </sheetPr>
  <dimension ref="A1:K29"/>
  <sheetViews>
    <sheetView tabSelected="1" zoomScale="120" zoomScaleNormal="120" workbookViewId="0">
      <selection activeCell="L10" sqref="L10"/>
    </sheetView>
  </sheetViews>
  <sheetFormatPr defaultColWidth="15.125" defaultRowHeight="14.85" customHeight="1"/>
  <cols>
    <col min="1" max="1" width="2.625" style="1" customWidth="1"/>
    <col min="2" max="2" width="29.25" style="3" customWidth="1"/>
    <col min="3" max="3" width="9.875" style="8" bestFit="1" customWidth="1"/>
    <col min="4" max="4" width="30.5" style="8" customWidth="1"/>
    <col min="5" max="5" width="17.625" style="3" customWidth="1"/>
    <col min="6" max="6" width="15.625" style="7" bestFit="1" customWidth="1"/>
    <col min="7" max="7" width="13.125" style="3" bestFit="1" customWidth="1"/>
    <col min="8" max="8" width="15.125" style="3" customWidth="1"/>
    <col min="9" max="9" width="10.75" style="1" customWidth="1"/>
    <col min="10" max="10" width="10.625" style="1" customWidth="1"/>
    <col min="11" max="11" width="9.625" style="1" customWidth="1"/>
    <col min="12" max="16384" width="15.125" style="1"/>
  </cols>
  <sheetData>
    <row r="1" spans="1:11" ht="15">
      <c r="A1" s="2"/>
      <c r="B1" s="86" t="s">
        <v>0</v>
      </c>
      <c r="C1" s="94"/>
      <c r="D1" s="72"/>
      <c r="E1" s="91" t="s">
        <v>1</v>
      </c>
      <c r="F1" s="97" t="s">
        <v>2</v>
      </c>
      <c r="G1" s="99" t="s">
        <v>3</v>
      </c>
      <c r="H1" s="88" t="s">
        <v>4</v>
      </c>
      <c r="I1" s="90" t="s">
        <v>5</v>
      </c>
      <c r="J1" s="92" t="s">
        <v>5</v>
      </c>
    </row>
    <row r="2" spans="1:11" ht="15.75" thickBot="1">
      <c r="A2" s="5"/>
      <c r="B2" s="87"/>
      <c r="C2" s="95"/>
      <c r="D2" s="73"/>
      <c r="E2" s="96"/>
      <c r="F2" s="98"/>
      <c r="G2" s="100"/>
      <c r="H2" s="89"/>
      <c r="I2" s="91"/>
      <c r="J2" s="93"/>
    </row>
    <row r="3" spans="1:11" ht="14.85" customHeight="1">
      <c r="A3" s="18" t="s">
        <v>6</v>
      </c>
      <c r="B3" s="55">
        <v>22789</v>
      </c>
      <c r="C3" s="62" t="s">
        <v>7</v>
      </c>
      <c r="D3" s="74">
        <v>45208</v>
      </c>
      <c r="E3" s="55">
        <v>3.54</v>
      </c>
      <c r="F3" s="55">
        <v>30</v>
      </c>
      <c r="G3" s="57">
        <f>(30-F3)</f>
        <v>0</v>
      </c>
      <c r="H3" s="59">
        <f>E3*F3</f>
        <v>106.2</v>
      </c>
      <c r="I3" s="31" t="s">
        <v>8</v>
      </c>
      <c r="J3" s="32" t="s">
        <v>9</v>
      </c>
    </row>
    <row r="4" spans="1:11" ht="14.85" customHeight="1">
      <c r="A4" s="61" t="s">
        <v>10</v>
      </c>
      <c r="B4" s="55">
        <v>22792</v>
      </c>
      <c r="C4" s="62" t="s">
        <v>11</v>
      </c>
      <c r="D4" s="74">
        <v>45208</v>
      </c>
      <c r="E4" s="55">
        <v>2.94</v>
      </c>
      <c r="F4" s="55">
        <v>30</v>
      </c>
      <c r="G4" s="57">
        <f t="shared" ref="G4:G16" si="0">(30-F4)</f>
        <v>0</v>
      </c>
      <c r="H4" s="58">
        <f t="shared" ref="H4:H16" si="1">E4*F4</f>
        <v>88.2</v>
      </c>
      <c r="I4" s="33" t="s">
        <v>8</v>
      </c>
      <c r="J4" s="34" t="s">
        <v>12</v>
      </c>
      <c r="K4" s="1" t="s">
        <v>48</v>
      </c>
    </row>
    <row r="5" spans="1:11" ht="14.85" customHeight="1">
      <c r="A5" s="18" t="s">
        <v>13</v>
      </c>
      <c r="B5" s="55" t="s">
        <v>14</v>
      </c>
      <c r="C5" s="62" t="s">
        <v>7</v>
      </c>
      <c r="D5" s="74">
        <v>45216</v>
      </c>
      <c r="E5" s="55">
        <v>1.3</v>
      </c>
      <c r="F5" s="55">
        <v>30</v>
      </c>
      <c r="G5" s="57">
        <f t="shared" si="0"/>
        <v>0</v>
      </c>
      <c r="H5" s="59">
        <f t="shared" si="1"/>
        <v>39</v>
      </c>
      <c r="I5" s="33" t="s">
        <v>8</v>
      </c>
      <c r="J5" s="34" t="s">
        <v>15</v>
      </c>
    </row>
    <row r="6" spans="1:11" ht="14.85" customHeight="1" thickBot="1">
      <c r="A6" s="18" t="s">
        <v>16</v>
      </c>
      <c r="B6" s="55" t="s">
        <v>17</v>
      </c>
      <c r="C6" s="62" t="s">
        <v>11</v>
      </c>
      <c r="D6" s="74">
        <v>45216</v>
      </c>
      <c r="E6" s="55">
        <v>1.53</v>
      </c>
      <c r="F6" s="55">
        <v>30</v>
      </c>
      <c r="G6" s="57">
        <f t="shared" si="0"/>
        <v>0</v>
      </c>
      <c r="H6" s="63">
        <f t="shared" si="1"/>
        <v>45.9</v>
      </c>
      <c r="I6" s="35" t="s">
        <v>8</v>
      </c>
      <c r="J6" s="36" t="s">
        <v>18</v>
      </c>
    </row>
    <row r="7" spans="1:11" ht="14.85" customHeight="1">
      <c r="A7" s="18" t="s">
        <v>19</v>
      </c>
      <c r="B7" s="64">
        <v>23358</v>
      </c>
      <c r="C7" s="62" t="s">
        <v>7</v>
      </c>
      <c r="D7" s="75">
        <v>45243</v>
      </c>
      <c r="E7" s="64">
        <v>0.64300000000000002</v>
      </c>
      <c r="F7" s="55">
        <v>30</v>
      </c>
      <c r="G7" s="57">
        <f t="shared" si="0"/>
        <v>0</v>
      </c>
      <c r="H7" s="59">
        <f t="shared" si="1"/>
        <v>19.29</v>
      </c>
      <c r="I7" s="37" t="s">
        <v>20</v>
      </c>
      <c r="J7" s="38" t="s">
        <v>9</v>
      </c>
    </row>
    <row r="8" spans="1:11" ht="14.85" customHeight="1">
      <c r="A8" s="61" t="s">
        <v>21</v>
      </c>
      <c r="B8" s="55">
        <v>23361</v>
      </c>
      <c r="C8" s="62" t="s">
        <v>11</v>
      </c>
      <c r="D8" s="74">
        <v>45243</v>
      </c>
      <c r="E8" s="55">
        <v>1.51</v>
      </c>
      <c r="F8" s="55">
        <v>30</v>
      </c>
      <c r="G8" s="57">
        <f t="shared" si="0"/>
        <v>0</v>
      </c>
      <c r="H8" s="63">
        <f t="shared" si="1"/>
        <v>45.3</v>
      </c>
      <c r="I8" s="39" t="s">
        <v>20</v>
      </c>
      <c r="J8" s="40" t="s">
        <v>12</v>
      </c>
    </row>
    <row r="9" spans="1:11" ht="14.85" customHeight="1" thickBot="1">
      <c r="A9" s="18" t="s">
        <v>22</v>
      </c>
      <c r="B9" s="55">
        <v>23526</v>
      </c>
      <c r="C9" s="62" t="s">
        <v>7</v>
      </c>
      <c r="D9" s="74">
        <v>45257</v>
      </c>
      <c r="E9" s="55">
        <v>1.03</v>
      </c>
      <c r="F9" s="55">
        <v>30</v>
      </c>
      <c r="G9" s="57">
        <f t="shared" si="0"/>
        <v>0</v>
      </c>
      <c r="H9" s="65">
        <f t="shared" si="1"/>
        <v>30.900000000000002</v>
      </c>
      <c r="I9" s="39" t="s">
        <v>20</v>
      </c>
      <c r="J9" s="40" t="s">
        <v>15</v>
      </c>
    </row>
    <row r="10" spans="1:11" ht="14.85" customHeight="1">
      <c r="A10" s="18" t="s">
        <v>23</v>
      </c>
      <c r="B10" s="55">
        <v>23566</v>
      </c>
      <c r="C10" s="62" t="s">
        <v>11</v>
      </c>
      <c r="D10" s="74">
        <v>45257</v>
      </c>
      <c r="E10" s="55">
        <v>0.52200000000000002</v>
      </c>
      <c r="F10" s="55">
        <v>30</v>
      </c>
      <c r="G10" s="68">
        <f t="shared" si="0"/>
        <v>0</v>
      </c>
      <c r="H10" s="69">
        <f t="shared" si="1"/>
        <v>15.66</v>
      </c>
      <c r="I10" s="39" t="s">
        <v>20</v>
      </c>
      <c r="J10" s="40" t="s">
        <v>18</v>
      </c>
    </row>
    <row r="11" spans="1:11" ht="14.85" customHeight="1">
      <c r="A11" s="18" t="s">
        <v>24</v>
      </c>
      <c r="B11" s="55">
        <v>23605</v>
      </c>
      <c r="C11" s="62" t="s">
        <v>7</v>
      </c>
      <c r="D11" s="74">
        <v>45264</v>
      </c>
      <c r="E11" s="55">
        <v>1.49</v>
      </c>
      <c r="F11" s="55">
        <v>30</v>
      </c>
      <c r="G11" s="57">
        <f t="shared" si="0"/>
        <v>0</v>
      </c>
      <c r="H11" s="63">
        <f t="shared" si="1"/>
        <v>44.7</v>
      </c>
      <c r="I11" s="41" t="s">
        <v>25</v>
      </c>
      <c r="J11" s="42" t="s">
        <v>12</v>
      </c>
    </row>
    <row r="12" spans="1:11" ht="14.85" customHeight="1">
      <c r="A12" s="61" t="s">
        <v>26</v>
      </c>
      <c r="B12" s="55">
        <v>23740</v>
      </c>
      <c r="C12" s="62" t="s">
        <v>7</v>
      </c>
      <c r="D12" s="74">
        <v>45271</v>
      </c>
      <c r="E12" s="55">
        <v>0.54400000000000004</v>
      </c>
      <c r="F12" s="55">
        <v>30</v>
      </c>
      <c r="G12" s="57">
        <f t="shared" si="0"/>
        <v>0</v>
      </c>
      <c r="H12" s="63">
        <f t="shared" si="1"/>
        <v>16.32</v>
      </c>
      <c r="I12" s="41" t="s">
        <v>25</v>
      </c>
      <c r="J12" s="42" t="s">
        <v>18</v>
      </c>
    </row>
    <row r="13" spans="1:11" ht="14.85" customHeight="1">
      <c r="A13" s="18" t="s">
        <v>27</v>
      </c>
      <c r="B13" s="55">
        <v>23743</v>
      </c>
      <c r="C13" s="62" t="s">
        <v>11</v>
      </c>
      <c r="D13" s="74">
        <v>45271</v>
      </c>
      <c r="E13" s="55">
        <v>1.06</v>
      </c>
      <c r="F13" s="55">
        <v>30</v>
      </c>
      <c r="G13" s="57">
        <f t="shared" si="0"/>
        <v>0</v>
      </c>
      <c r="H13" s="59">
        <f t="shared" si="1"/>
        <v>31.8</v>
      </c>
      <c r="I13" s="46" t="s">
        <v>28</v>
      </c>
      <c r="J13" s="46" t="s">
        <v>12</v>
      </c>
    </row>
    <row r="14" spans="1:11" ht="14.85" customHeight="1">
      <c r="A14" s="18" t="s">
        <v>29</v>
      </c>
      <c r="B14" s="55">
        <v>23824</v>
      </c>
      <c r="C14" s="62" t="s">
        <v>7</v>
      </c>
      <c r="D14" s="74">
        <v>45278</v>
      </c>
      <c r="E14" s="55">
        <v>0.88700000000000001</v>
      </c>
      <c r="F14" s="55">
        <v>30</v>
      </c>
      <c r="G14" s="57">
        <f t="shared" si="0"/>
        <v>0</v>
      </c>
      <c r="H14" s="63">
        <f t="shared" si="1"/>
        <v>26.61</v>
      </c>
      <c r="I14" s="46" t="s">
        <v>28</v>
      </c>
      <c r="J14" s="47" t="s">
        <v>18</v>
      </c>
    </row>
    <row r="15" spans="1:11" ht="14.85" customHeight="1">
      <c r="A15" s="18" t="s">
        <v>30</v>
      </c>
      <c r="B15" s="55">
        <v>23827</v>
      </c>
      <c r="C15" s="62" t="s">
        <v>11</v>
      </c>
      <c r="D15" s="74">
        <v>45278</v>
      </c>
      <c r="E15" s="55">
        <v>1.1499999999999999</v>
      </c>
      <c r="F15" s="55">
        <v>30</v>
      </c>
      <c r="G15" s="57">
        <f t="shared" si="0"/>
        <v>0</v>
      </c>
      <c r="H15" s="59">
        <f t="shared" si="1"/>
        <v>34.5</v>
      </c>
      <c r="I15" s="44" t="s">
        <v>31</v>
      </c>
      <c r="J15" s="51" t="s">
        <v>12</v>
      </c>
    </row>
    <row r="16" spans="1:11" ht="14.85" customHeight="1" thickBot="1">
      <c r="A16" s="61" t="s">
        <v>32</v>
      </c>
      <c r="B16" s="55" t="s">
        <v>33</v>
      </c>
      <c r="C16" s="55"/>
      <c r="D16" s="55"/>
      <c r="E16" s="55"/>
      <c r="F16" s="55"/>
      <c r="G16" s="70">
        <f t="shared" si="0"/>
        <v>30</v>
      </c>
      <c r="H16" s="71">
        <f t="shared" si="1"/>
        <v>0</v>
      </c>
      <c r="I16" s="45" t="s">
        <v>31</v>
      </c>
      <c r="J16" s="52" t="s">
        <v>18</v>
      </c>
    </row>
    <row r="17" spans="1:10" ht="14.85" customHeight="1">
      <c r="A17" s="18" t="s">
        <v>34</v>
      </c>
      <c r="B17" s="55"/>
      <c r="C17" s="55"/>
      <c r="D17" s="55"/>
      <c r="E17" s="55"/>
      <c r="F17" s="55"/>
      <c r="G17" s="66"/>
      <c r="H17" s="67"/>
      <c r="I17" s="48"/>
      <c r="J17" s="48"/>
    </row>
    <row r="18" spans="1:10" ht="14.85" customHeight="1">
      <c r="A18" s="18" t="s">
        <v>35</v>
      </c>
      <c r="B18" s="55"/>
      <c r="C18" s="55"/>
      <c r="D18" s="55"/>
      <c r="E18" s="55"/>
      <c r="F18" s="55"/>
      <c r="G18" s="57"/>
      <c r="H18" s="63"/>
      <c r="I18" s="48"/>
      <c r="J18" s="48"/>
    </row>
    <row r="19" spans="1:10" ht="14.85" customHeight="1" thickBot="1">
      <c r="A19" s="18" t="s">
        <v>36</v>
      </c>
      <c r="B19" s="55"/>
      <c r="C19" s="55"/>
      <c r="D19" s="55"/>
      <c r="E19" s="55"/>
      <c r="F19" s="55"/>
      <c r="G19" s="57"/>
      <c r="H19" s="59"/>
      <c r="I19" s="49"/>
      <c r="J19" s="49"/>
    </row>
    <row r="20" spans="1:10" ht="14.85" customHeight="1">
      <c r="A20" s="61" t="s">
        <v>37</v>
      </c>
      <c r="B20" s="55"/>
      <c r="C20" s="55"/>
      <c r="D20" s="55"/>
      <c r="E20" s="55"/>
      <c r="F20" s="55"/>
      <c r="G20" s="57"/>
      <c r="H20" s="63"/>
      <c r="I20" s="43"/>
      <c r="J20" s="50"/>
    </row>
    <row r="21" spans="1:10" ht="14.85" customHeight="1">
      <c r="A21" s="18" t="s">
        <v>38</v>
      </c>
      <c r="B21" s="55"/>
      <c r="C21" s="62"/>
      <c r="D21" s="62"/>
      <c r="E21" s="55"/>
      <c r="F21" s="56"/>
      <c r="G21" s="57"/>
      <c r="H21" s="59"/>
      <c r="I21" s="44"/>
      <c r="J21" s="51"/>
    </row>
    <row r="22" spans="1:10" ht="14.85" customHeight="1">
      <c r="A22" s="18" t="s">
        <v>39</v>
      </c>
      <c r="B22" s="55"/>
      <c r="C22" s="62"/>
      <c r="D22" s="62"/>
      <c r="E22" s="55"/>
      <c r="F22" s="56"/>
      <c r="G22" s="57"/>
      <c r="H22" s="63"/>
      <c r="I22" s="44"/>
      <c r="J22" s="51"/>
    </row>
    <row r="23" spans="1:10" ht="14.85" customHeight="1" thickBot="1">
      <c r="A23" s="18" t="s">
        <v>40</v>
      </c>
      <c r="B23" s="55"/>
      <c r="C23" s="62"/>
      <c r="D23" s="62"/>
      <c r="E23" s="55"/>
      <c r="F23" s="56"/>
      <c r="G23" s="57"/>
      <c r="H23" s="59"/>
      <c r="I23" s="45"/>
      <c r="J23" s="52"/>
    </row>
    <row r="24" spans="1:10" ht="14.85" customHeight="1">
      <c r="A24" s="61"/>
      <c r="B24" s="55"/>
      <c r="C24" s="62"/>
      <c r="D24" s="62"/>
      <c r="E24" s="55"/>
      <c r="F24" s="6"/>
      <c r="G24" s="4"/>
      <c r="H24" s="59"/>
      <c r="I24" s="60"/>
      <c r="J24" s="60"/>
    </row>
    <row r="27" spans="1:10" ht="14.85" customHeight="1">
      <c r="A27" s="18" t="s">
        <v>22</v>
      </c>
      <c r="B27" s="76">
        <v>23460</v>
      </c>
      <c r="C27" s="77" t="s">
        <v>7</v>
      </c>
      <c r="D27" s="78">
        <v>45250</v>
      </c>
      <c r="E27" s="76">
        <v>0.219</v>
      </c>
      <c r="F27" s="76">
        <v>30</v>
      </c>
      <c r="G27" s="79">
        <f>(30-F27)</f>
        <v>0</v>
      </c>
      <c r="H27" s="80">
        <f>E27*F27</f>
        <v>6.57</v>
      </c>
      <c r="I27" s="81" t="s">
        <v>20</v>
      </c>
      <c r="J27" s="82" t="s">
        <v>15</v>
      </c>
    </row>
    <row r="28" spans="1:10" ht="14.85" customHeight="1" thickBot="1">
      <c r="A28" s="61" t="s">
        <v>23</v>
      </c>
      <c r="B28" s="76">
        <v>23463</v>
      </c>
      <c r="C28" s="77" t="s">
        <v>11</v>
      </c>
      <c r="D28" s="78">
        <v>45250</v>
      </c>
      <c r="E28" s="76">
        <v>0.71099999999999997</v>
      </c>
      <c r="F28" s="76">
        <v>30</v>
      </c>
      <c r="G28" s="79">
        <f>(30-F28)</f>
        <v>0</v>
      </c>
      <c r="H28" s="85">
        <f>E28*F28</f>
        <v>21.33</v>
      </c>
      <c r="I28" s="83" t="s">
        <v>20</v>
      </c>
      <c r="J28" s="84" t="s">
        <v>18</v>
      </c>
    </row>
    <row r="29" spans="1:10" ht="14.85" customHeight="1" thickBot="1">
      <c r="A29" s="18" t="s">
        <v>29</v>
      </c>
      <c r="B29" s="76">
        <v>23608</v>
      </c>
      <c r="C29" s="77" t="s">
        <v>11</v>
      </c>
      <c r="D29" s="78">
        <v>45264</v>
      </c>
      <c r="E29" s="76">
        <v>0.308</v>
      </c>
      <c r="F29" s="76">
        <v>30</v>
      </c>
      <c r="G29" s="79">
        <f>(30-F29)</f>
        <v>0</v>
      </c>
      <c r="H29" s="80">
        <f>E29*F29</f>
        <v>9.24</v>
      </c>
      <c r="I29" s="83" t="s">
        <v>25</v>
      </c>
      <c r="J29" s="84" t="s">
        <v>18</v>
      </c>
    </row>
  </sheetData>
  <autoFilter ref="B1:J2" xr:uid="{87FE3EAF-F01D-43CA-806A-DECA262572BC}"/>
  <mergeCells count="8">
    <mergeCell ref="B1:B2"/>
    <mergeCell ref="H1:H2"/>
    <mergeCell ref="I1:I2"/>
    <mergeCell ref="J1:J2"/>
    <mergeCell ref="C1:C2"/>
    <mergeCell ref="E1:E2"/>
    <mergeCell ref="F1:F2"/>
    <mergeCell ref="G1:G2"/>
  </mergeCells>
  <phoneticPr fontId="2" type="noConversion"/>
  <pageMargins left="0.25" right="0.25" top="0.75" bottom="0.75" header="0.3" footer="0.3"/>
  <pageSetup paperSize="9" scale="84" orientation="landscape" r:id="rId1"/>
  <headerFooter alignWithMargins="0">
    <oddFooter>&amp;C&amp;"Helvetica,Regular"&amp;K000000&amp;P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A1847-70B4-4275-9C1E-947D0592107E}">
  <sheetPr>
    <pageSetUpPr fitToPage="1"/>
  </sheetPr>
  <dimension ref="A2:L27"/>
  <sheetViews>
    <sheetView zoomScale="110" zoomScaleNormal="110" workbookViewId="0">
      <selection activeCell="K30" sqref="K30"/>
    </sheetView>
  </sheetViews>
  <sheetFormatPr defaultColWidth="8.875" defaultRowHeight="14.25"/>
  <cols>
    <col min="1" max="1" width="2.625" bestFit="1" customWidth="1"/>
    <col min="2" max="2" width="45.5" bestFit="1" customWidth="1"/>
    <col min="3" max="3" width="31.125" customWidth="1"/>
    <col min="4" max="4" width="14.375" style="9" customWidth="1"/>
    <col min="5" max="5" width="11.875" customWidth="1"/>
    <col min="6" max="6" width="13.5" customWidth="1"/>
    <col min="7" max="7" width="13.625" customWidth="1"/>
    <col min="8" max="8" width="12.75" customWidth="1"/>
    <col min="9" max="10" width="8.875" style="9"/>
  </cols>
  <sheetData>
    <row r="2" spans="1:12" ht="32.25" thickBot="1">
      <c r="A2" s="10"/>
      <c r="B2" s="11" t="s">
        <v>41</v>
      </c>
      <c r="C2" s="11"/>
      <c r="D2" s="12" t="s">
        <v>42</v>
      </c>
      <c r="E2" s="13" t="s">
        <v>43</v>
      </c>
      <c r="F2" s="14" t="s">
        <v>44</v>
      </c>
      <c r="G2" s="15" t="s">
        <v>45</v>
      </c>
      <c r="H2" s="16" t="s">
        <v>46</v>
      </c>
      <c r="I2" s="25" t="s">
        <v>5</v>
      </c>
      <c r="J2" s="25" t="s">
        <v>5</v>
      </c>
    </row>
    <row r="3" spans="1:12" ht="15.75">
      <c r="A3" s="18" t="s">
        <v>6</v>
      </c>
      <c r="B3" s="55">
        <v>22789</v>
      </c>
      <c r="C3" s="62" t="s">
        <v>7</v>
      </c>
      <c r="D3" s="19">
        <v>11.9</v>
      </c>
      <c r="E3" s="17">
        <v>490</v>
      </c>
      <c r="F3" s="20">
        <f t="shared" ref="F3:F27" si="0">D3/(660*E3)*1000000</f>
        <v>36.796536796536799</v>
      </c>
      <c r="G3" s="21">
        <f>(4*50)/F3</f>
        <v>5.4352941176470582</v>
      </c>
      <c r="H3" s="22">
        <f>50-G3</f>
        <v>44.564705882352939</v>
      </c>
      <c r="I3" s="31" t="s">
        <v>8</v>
      </c>
      <c r="J3" s="32" t="s">
        <v>9</v>
      </c>
    </row>
    <row r="4" spans="1:12" ht="15.75">
      <c r="A4" s="61" t="s">
        <v>10</v>
      </c>
      <c r="B4" s="55">
        <v>22792</v>
      </c>
      <c r="C4" s="62" t="s">
        <v>11</v>
      </c>
      <c r="D4" s="19">
        <v>2.94</v>
      </c>
      <c r="E4" s="17">
        <v>490</v>
      </c>
      <c r="F4" s="20">
        <f t="shared" si="0"/>
        <v>9.0909090909090917</v>
      </c>
      <c r="G4" s="21">
        <f>(4*50)/F4</f>
        <v>21.999999999999996</v>
      </c>
      <c r="H4" s="22">
        <f>50-G4</f>
        <v>28.000000000000004</v>
      </c>
      <c r="I4" s="33" t="s">
        <v>8</v>
      </c>
      <c r="J4" s="34" t="s">
        <v>12</v>
      </c>
    </row>
    <row r="5" spans="1:12" ht="15.75">
      <c r="A5" s="18" t="s">
        <v>13</v>
      </c>
      <c r="B5" s="55" t="s">
        <v>14</v>
      </c>
      <c r="C5" s="62" t="s">
        <v>7</v>
      </c>
      <c r="D5" s="19">
        <v>3.79</v>
      </c>
      <c r="E5" s="17">
        <v>464</v>
      </c>
      <c r="F5" s="20">
        <f t="shared" si="0"/>
        <v>12.375914315569489</v>
      </c>
      <c r="G5" s="21">
        <f>(4*50)/F5</f>
        <v>16.16042216358839</v>
      </c>
      <c r="H5" s="22">
        <f>50-G5</f>
        <v>33.839577836411607</v>
      </c>
      <c r="I5" s="33" t="s">
        <v>8</v>
      </c>
      <c r="J5" s="34" t="s">
        <v>15</v>
      </c>
    </row>
    <row r="6" spans="1:12" s="26" customFormat="1" ht="16.5" thickBot="1">
      <c r="A6" s="61" t="s">
        <v>16</v>
      </c>
      <c r="B6" s="55" t="s">
        <v>17</v>
      </c>
      <c r="C6" s="62" t="s">
        <v>11</v>
      </c>
      <c r="D6" s="19">
        <v>15</v>
      </c>
      <c r="E6" s="17">
        <v>495</v>
      </c>
      <c r="F6" s="20">
        <f t="shared" si="0"/>
        <v>45.913682277318642</v>
      </c>
      <c r="G6" s="21">
        <f>(4*50)/F6</f>
        <v>4.3559999999999999</v>
      </c>
      <c r="H6" s="22">
        <f>50-G6</f>
        <v>45.643999999999998</v>
      </c>
      <c r="I6" s="35" t="s">
        <v>8</v>
      </c>
      <c r="J6" s="36" t="s">
        <v>18</v>
      </c>
    </row>
    <row r="7" spans="1:12" ht="15.75">
      <c r="A7" s="18" t="s">
        <v>19</v>
      </c>
      <c r="B7" s="64">
        <v>23358</v>
      </c>
      <c r="C7" s="62" t="s">
        <v>7</v>
      </c>
      <c r="D7" s="19">
        <v>12.3</v>
      </c>
      <c r="E7" s="17">
        <v>480</v>
      </c>
      <c r="F7" s="20">
        <f t="shared" si="0"/>
        <v>38.825757575757578</v>
      </c>
      <c r="G7" s="21">
        <f>(4*50)/F7</f>
        <v>5.1512195121951221</v>
      </c>
      <c r="H7" s="22">
        <f>50-G7</f>
        <v>44.848780487804881</v>
      </c>
      <c r="I7" s="37" t="s">
        <v>20</v>
      </c>
      <c r="J7" s="38" t="s">
        <v>9</v>
      </c>
      <c r="L7" s="30"/>
    </row>
    <row r="8" spans="1:12" ht="15.75">
      <c r="A8" s="61" t="s">
        <v>21</v>
      </c>
      <c r="B8" s="55">
        <v>23361</v>
      </c>
      <c r="C8" s="62" t="s">
        <v>11</v>
      </c>
      <c r="D8" s="28">
        <v>18.100000000000001</v>
      </c>
      <c r="E8" s="29">
        <v>490</v>
      </c>
      <c r="F8" s="20">
        <f t="shared" si="0"/>
        <v>55.9678416821274</v>
      </c>
      <c r="G8" s="21">
        <f t="shared" ref="G8:G26" si="1">(4*50)/F8</f>
        <v>3.573480662983425</v>
      </c>
      <c r="H8" s="22">
        <f t="shared" ref="H8:H26" si="2">50-G8</f>
        <v>46.426519337016572</v>
      </c>
      <c r="I8" s="39" t="s">
        <v>20</v>
      </c>
      <c r="J8" s="40" t="s">
        <v>12</v>
      </c>
    </row>
    <row r="9" spans="1:12" ht="15.75">
      <c r="A9" s="18" t="s">
        <v>22</v>
      </c>
      <c r="B9" s="55">
        <v>23526</v>
      </c>
      <c r="C9" s="62" t="s">
        <v>7</v>
      </c>
      <c r="D9" s="19">
        <v>9.8699999999999992</v>
      </c>
      <c r="E9" s="29">
        <v>465</v>
      </c>
      <c r="F9" s="20">
        <f t="shared" si="0"/>
        <v>32.160312805474092</v>
      </c>
      <c r="G9" s="21">
        <f t="shared" si="1"/>
        <v>6.2188449848024323</v>
      </c>
      <c r="H9" s="22">
        <f t="shared" si="2"/>
        <v>43.781155015197569</v>
      </c>
      <c r="I9" s="39" t="s">
        <v>20</v>
      </c>
      <c r="J9" s="40" t="s">
        <v>15</v>
      </c>
    </row>
    <row r="10" spans="1:12" ht="15.75">
      <c r="A10" s="61" t="s">
        <v>23</v>
      </c>
      <c r="B10" s="55">
        <v>23566</v>
      </c>
      <c r="C10" s="62" t="s">
        <v>11</v>
      </c>
      <c r="D10" s="19">
        <v>5.8</v>
      </c>
      <c r="E10" s="29">
        <v>475</v>
      </c>
      <c r="F10" s="20">
        <f t="shared" si="0"/>
        <v>18.500797448165869</v>
      </c>
      <c r="G10" s="21">
        <f t="shared" si="1"/>
        <v>10.810344827586206</v>
      </c>
      <c r="H10" s="22">
        <f t="shared" si="2"/>
        <v>39.189655172413794</v>
      </c>
      <c r="I10" s="39" t="s">
        <v>20</v>
      </c>
      <c r="J10" s="40" t="s">
        <v>18</v>
      </c>
    </row>
    <row r="11" spans="1:12" ht="15.75">
      <c r="A11" s="18" t="s">
        <v>24</v>
      </c>
      <c r="B11" s="55">
        <v>23605</v>
      </c>
      <c r="C11" s="62" t="s">
        <v>7</v>
      </c>
      <c r="D11" s="19">
        <v>27.4</v>
      </c>
      <c r="E11" s="29">
        <v>560</v>
      </c>
      <c r="F11" s="20">
        <f t="shared" si="0"/>
        <v>74.134199134199122</v>
      </c>
      <c r="G11" s="21">
        <f t="shared" si="1"/>
        <v>2.6978102189781028</v>
      </c>
      <c r="H11" s="22">
        <f t="shared" si="2"/>
        <v>47.302189781021895</v>
      </c>
      <c r="I11" s="41" t="s">
        <v>25</v>
      </c>
      <c r="J11" s="42" t="s">
        <v>12</v>
      </c>
    </row>
    <row r="12" spans="1:12" ht="15.75">
      <c r="A12" s="61" t="s">
        <v>26</v>
      </c>
      <c r="B12" s="55">
        <v>23740</v>
      </c>
      <c r="C12" s="62" t="s">
        <v>7</v>
      </c>
      <c r="D12" s="19">
        <v>10.199999999999999</v>
      </c>
      <c r="E12" s="29">
        <v>520</v>
      </c>
      <c r="F12" s="20">
        <f t="shared" ref="F12:F20" si="3">D12/(660*E12)*1000000</f>
        <v>29.72027972027972</v>
      </c>
      <c r="G12" s="21">
        <f t="shared" si="1"/>
        <v>6.7294117647058824</v>
      </c>
      <c r="H12" s="22">
        <f t="shared" si="2"/>
        <v>43.27058823529412</v>
      </c>
      <c r="I12" s="41" t="s">
        <v>25</v>
      </c>
      <c r="J12" s="42" t="s">
        <v>18</v>
      </c>
    </row>
    <row r="13" spans="1:12" ht="15.75">
      <c r="A13" s="18" t="s">
        <v>27</v>
      </c>
      <c r="B13" s="55">
        <v>23743</v>
      </c>
      <c r="C13" s="62" t="s">
        <v>11</v>
      </c>
      <c r="D13" s="19">
        <v>6.07</v>
      </c>
      <c r="E13" s="29">
        <v>510</v>
      </c>
      <c r="F13" s="20">
        <f t="shared" si="3"/>
        <v>18.033273915626857</v>
      </c>
      <c r="G13" s="21">
        <f t="shared" si="1"/>
        <v>11.090609555189456</v>
      </c>
      <c r="H13" s="22">
        <f t="shared" si="2"/>
        <v>38.909390444810541</v>
      </c>
      <c r="I13" s="46" t="s">
        <v>28</v>
      </c>
      <c r="J13" s="46" t="s">
        <v>12</v>
      </c>
    </row>
    <row r="14" spans="1:12" ht="15.75">
      <c r="A14" s="61" t="s">
        <v>29</v>
      </c>
      <c r="B14" s="55">
        <v>23824</v>
      </c>
      <c r="C14" s="62" t="s">
        <v>7</v>
      </c>
      <c r="D14" s="19">
        <v>10.199999999999999</v>
      </c>
      <c r="E14" s="29">
        <v>560</v>
      </c>
      <c r="F14" s="20">
        <f t="shared" si="3"/>
        <v>27.597402597402596</v>
      </c>
      <c r="G14" s="21">
        <f t="shared" si="1"/>
        <v>7.2470588235294127</v>
      </c>
      <c r="H14" s="22">
        <f t="shared" si="2"/>
        <v>42.752941176470586</v>
      </c>
      <c r="I14" s="46" t="s">
        <v>28</v>
      </c>
      <c r="J14" s="47" t="s">
        <v>18</v>
      </c>
    </row>
    <row r="15" spans="1:12" ht="15.75">
      <c r="A15" s="18" t="s">
        <v>30</v>
      </c>
      <c r="B15" s="55">
        <v>23827</v>
      </c>
      <c r="C15" s="62" t="s">
        <v>11</v>
      </c>
      <c r="D15" s="19">
        <v>8.76</v>
      </c>
      <c r="E15" s="29">
        <v>490</v>
      </c>
      <c r="F15" s="20">
        <f t="shared" si="3"/>
        <v>27.087198515769945</v>
      </c>
      <c r="G15" s="21">
        <f t="shared" si="1"/>
        <v>7.3835616438356162</v>
      </c>
      <c r="H15" s="22">
        <f t="shared" si="2"/>
        <v>42.61643835616438</v>
      </c>
      <c r="I15" s="44" t="s">
        <v>31</v>
      </c>
      <c r="J15" s="51" t="s">
        <v>12</v>
      </c>
    </row>
    <row r="16" spans="1:12" ht="16.5" thickBot="1">
      <c r="A16" s="61" t="s">
        <v>32</v>
      </c>
      <c r="B16" s="55" t="s">
        <v>33</v>
      </c>
      <c r="C16" s="55"/>
      <c r="D16" s="19">
        <v>8.9999999999999993E-3</v>
      </c>
      <c r="E16" s="29">
        <f>AVERAGE(E3:E15)</f>
        <v>499.15384615384613</v>
      </c>
      <c r="F16" s="20">
        <f t="shared" si="3"/>
        <v>2.7318959357794308E-2</v>
      </c>
      <c r="G16" s="21">
        <f t="shared" si="1"/>
        <v>7320.9230769230771</v>
      </c>
      <c r="H16" s="22">
        <f t="shared" si="2"/>
        <v>-7270.9230769230771</v>
      </c>
      <c r="I16" s="45" t="s">
        <v>31</v>
      </c>
      <c r="J16" s="52" t="s">
        <v>18</v>
      </c>
    </row>
    <row r="17" spans="1:10" ht="15.75">
      <c r="A17" s="18" t="s">
        <v>34</v>
      </c>
      <c r="B17" s="55"/>
      <c r="C17" s="24"/>
      <c r="D17" s="19"/>
      <c r="E17" s="29"/>
      <c r="F17" s="20" t="e">
        <f t="shared" si="3"/>
        <v>#DIV/0!</v>
      </c>
      <c r="G17" s="21" t="e">
        <f t="shared" si="1"/>
        <v>#DIV/0!</v>
      </c>
      <c r="H17" s="22" t="e">
        <f t="shared" si="2"/>
        <v>#DIV/0!</v>
      </c>
      <c r="I17" s="46"/>
      <c r="J17" s="46"/>
    </row>
    <row r="18" spans="1:10" ht="16.5" thickBot="1">
      <c r="A18" s="61" t="s">
        <v>35</v>
      </c>
      <c r="B18" s="55"/>
      <c r="C18" s="24"/>
      <c r="D18" s="19"/>
      <c r="E18" s="29"/>
      <c r="F18" s="20" t="e">
        <f t="shared" si="3"/>
        <v>#DIV/0!</v>
      </c>
      <c r="G18" s="21" t="e">
        <f t="shared" si="1"/>
        <v>#DIV/0!</v>
      </c>
      <c r="H18" s="22" t="e">
        <f t="shared" si="2"/>
        <v>#DIV/0!</v>
      </c>
      <c r="I18" s="47"/>
      <c r="J18" s="47"/>
    </row>
    <row r="19" spans="1:10" ht="15.75">
      <c r="A19" s="18"/>
      <c r="B19" s="23"/>
      <c r="C19" s="24"/>
      <c r="D19" s="19"/>
      <c r="E19" s="29"/>
      <c r="F19" s="20" t="e">
        <f t="shared" si="3"/>
        <v>#DIV/0!</v>
      </c>
      <c r="G19" s="21" t="e">
        <f t="shared" si="1"/>
        <v>#DIV/0!</v>
      </c>
      <c r="H19" s="22" t="e">
        <f t="shared" si="2"/>
        <v>#DIV/0!</v>
      </c>
      <c r="I19" s="27"/>
      <c r="J19" s="27"/>
    </row>
    <row r="20" spans="1:10" ht="15.75">
      <c r="A20" s="18"/>
      <c r="B20" s="23"/>
      <c r="C20" s="24"/>
      <c r="D20" s="19"/>
      <c r="E20" s="29"/>
      <c r="F20" s="20" t="e">
        <f t="shared" si="3"/>
        <v>#DIV/0!</v>
      </c>
      <c r="G20" s="21" t="e">
        <f t="shared" si="1"/>
        <v>#DIV/0!</v>
      </c>
      <c r="H20" s="22" t="e">
        <f t="shared" si="2"/>
        <v>#DIV/0!</v>
      </c>
      <c r="I20" s="48"/>
      <c r="J20" s="48"/>
    </row>
    <row r="21" spans="1:10" ht="15.75">
      <c r="A21" s="18"/>
      <c r="B21" s="23"/>
      <c r="C21" s="24"/>
      <c r="D21" s="19"/>
      <c r="E21" s="29"/>
      <c r="F21" s="20" t="e">
        <f t="shared" si="0"/>
        <v>#DIV/0!</v>
      </c>
      <c r="G21" s="21" t="e">
        <f t="shared" si="1"/>
        <v>#DIV/0!</v>
      </c>
      <c r="H21" s="22" t="e">
        <f t="shared" si="2"/>
        <v>#DIV/0!</v>
      </c>
      <c r="I21" s="48"/>
      <c r="J21" s="48"/>
    </row>
    <row r="22" spans="1:10" ht="16.5" thickBot="1">
      <c r="A22" s="18"/>
      <c r="B22" s="23"/>
      <c r="C22" s="24"/>
      <c r="D22" s="19"/>
      <c r="E22" s="29"/>
      <c r="F22" s="20" t="e">
        <f t="shared" si="0"/>
        <v>#DIV/0!</v>
      </c>
      <c r="G22" s="21" t="e">
        <f t="shared" si="1"/>
        <v>#DIV/0!</v>
      </c>
      <c r="H22" s="22" t="e">
        <f t="shared" si="2"/>
        <v>#DIV/0!</v>
      </c>
      <c r="I22" s="49"/>
      <c r="J22" s="49"/>
    </row>
    <row r="23" spans="1:10" ht="15.75">
      <c r="A23" s="18"/>
      <c r="B23" s="23"/>
      <c r="C23" s="24"/>
      <c r="D23" s="19"/>
      <c r="E23" s="29"/>
      <c r="F23" s="20" t="e">
        <f t="shared" si="0"/>
        <v>#DIV/0!</v>
      </c>
      <c r="G23" s="21" t="e">
        <f t="shared" si="1"/>
        <v>#DIV/0!</v>
      </c>
      <c r="H23" s="22" t="e">
        <f t="shared" si="2"/>
        <v>#DIV/0!</v>
      </c>
      <c r="I23" s="43"/>
      <c r="J23" s="50"/>
    </row>
    <row r="24" spans="1:10" ht="15.75">
      <c r="A24" s="18"/>
      <c r="B24" s="23"/>
      <c r="C24" s="24"/>
      <c r="D24" s="19"/>
      <c r="E24" s="29"/>
      <c r="F24" s="20" t="e">
        <f t="shared" si="0"/>
        <v>#DIV/0!</v>
      </c>
      <c r="G24" s="21" t="e">
        <f t="shared" si="1"/>
        <v>#DIV/0!</v>
      </c>
      <c r="H24" s="22" t="e">
        <f t="shared" si="2"/>
        <v>#DIV/0!</v>
      </c>
      <c r="I24" s="44"/>
      <c r="J24" s="51"/>
    </row>
    <row r="25" spans="1:10" ht="15.75">
      <c r="A25" s="18"/>
      <c r="B25" s="23"/>
      <c r="C25" s="24"/>
      <c r="D25" s="19"/>
      <c r="E25" s="29"/>
      <c r="F25" s="20" t="e">
        <f t="shared" si="0"/>
        <v>#DIV/0!</v>
      </c>
      <c r="G25" s="21" t="e">
        <f t="shared" si="1"/>
        <v>#DIV/0!</v>
      </c>
      <c r="H25" s="22" t="e">
        <f t="shared" si="2"/>
        <v>#DIV/0!</v>
      </c>
      <c r="I25" s="44"/>
      <c r="J25" s="51"/>
    </row>
    <row r="26" spans="1:10" ht="16.5" thickBot="1">
      <c r="A26" s="18"/>
      <c r="B26" s="23"/>
      <c r="C26" s="24"/>
      <c r="D26" s="19"/>
      <c r="E26" s="29"/>
      <c r="F26" s="20" t="e">
        <f t="shared" si="0"/>
        <v>#DIV/0!</v>
      </c>
      <c r="G26" s="21" t="e">
        <f t="shared" si="1"/>
        <v>#DIV/0!</v>
      </c>
      <c r="H26" s="22" t="e">
        <f t="shared" si="2"/>
        <v>#DIV/0!</v>
      </c>
      <c r="I26" s="45"/>
      <c r="J26" s="52"/>
    </row>
    <row r="27" spans="1:10" ht="15.75">
      <c r="B27" s="23"/>
      <c r="C27" s="53" t="s">
        <v>47</v>
      </c>
      <c r="D27" s="19">
        <v>1.2</v>
      </c>
      <c r="E27" s="29">
        <v>490</v>
      </c>
      <c r="F27" s="54">
        <f t="shared" si="0"/>
        <v>3.7105751391465676</v>
      </c>
      <c r="G27" s="21"/>
      <c r="H27" s="22"/>
    </row>
  </sheetData>
  <phoneticPr fontId="2" type="noConversion"/>
  <pageMargins left="0.25" right="0.25" top="0.75" bottom="0.75" header="0.3" footer="0.3"/>
  <pageSetup paperSize="9" scale="8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3DFF75737ABA4D85AB12A98250ACDD" ma:contentTypeVersion="17" ma:contentTypeDescription="Creare un nuovo documento." ma:contentTypeScope="" ma:versionID="b8e6f8733a91f03673c45f4889080c11">
  <xsd:schema xmlns:xsd="http://www.w3.org/2001/XMLSchema" xmlns:xs="http://www.w3.org/2001/XMLSchema" xmlns:p="http://schemas.microsoft.com/office/2006/metadata/properties" xmlns:ns3="80fc48da-6f0d-4ade-bbb1-e69b7fa34486" xmlns:ns4="3fc2e60a-3b11-420e-8f7d-bb87fca55236" targetNamespace="http://schemas.microsoft.com/office/2006/metadata/properties" ma:root="true" ma:fieldsID="49e219aee0cd2eaa6ddc5a19040fce32" ns3:_="" ns4:_="">
    <xsd:import namespace="80fc48da-6f0d-4ade-bbb1-e69b7fa34486"/>
    <xsd:import namespace="3fc2e60a-3b11-420e-8f7d-bb87fca5523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fc48da-6f0d-4ade-bbb1-e69b7fa344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c2e60a-3b11-420e-8f7d-bb87fca5523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0fc48da-6f0d-4ade-bbb1-e69b7fa34486" xsi:nil="true"/>
  </documentManagement>
</p:properties>
</file>

<file path=customXml/itemProps1.xml><?xml version="1.0" encoding="utf-8"?>
<ds:datastoreItem xmlns:ds="http://schemas.openxmlformats.org/officeDocument/2006/customXml" ds:itemID="{C3C87CB7-A0B4-42F1-9DD6-FBFE932F52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4C62EC-7991-434E-A5D3-01C3C31DD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0fc48da-6f0d-4ade-bbb1-e69b7fa34486"/>
    <ds:schemaRef ds:uri="3fc2e60a-3b11-420e-8f7d-bb87fca5523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1A3776-E377-4038-A7E2-682C99E0AAAA}">
  <ds:schemaRefs>
    <ds:schemaRef ds:uri="http://schemas.microsoft.com/office/2006/metadata/properties"/>
    <ds:schemaRef ds:uri="http://schemas.microsoft.com/office/infopath/2007/PartnerControls"/>
    <ds:schemaRef ds:uri="80fc48da-6f0d-4ade-bbb1-e69b7fa3448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2</vt:i4>
      </vt:variant>
    </vt:vector>
  </HeadingPairs>
  <TitlesOfParts>
    <vt:vector size="4" baseType="lpstr">
      <vt:lpstr>Quantificazione DNA - Tabella </vt:lpstr>
      <vt:lpstr>Library Quantification</vt:lpstr>
      <vt:lpstr>'Library Quantification'!Area_stampa</vt:lpstr>
      <vt:lpstr>'Quantificazione DNA - Tabella '!Area_stampa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Sisters</dc:creator>
  <cp:keywords/>
  <dc:description/>
  <cp:lastModifiedBy>Cosmin Mitachi</cp:lastModifiedBy>
  <cp:revision>66</cp:revision>
  <dcterms:created xsi:type="dcterms:W3CDTF">2019-06-01T14:13:37Z</dcterms:created>
  <dcterms:modified xsi:type="dcterms:W3CDTF">2024-10-01T15:32:55Z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0x010100033DFF75737ABA4D85AB12A98250ACDD</vt:lpwstr>
  </property>
</Properties>
</file>