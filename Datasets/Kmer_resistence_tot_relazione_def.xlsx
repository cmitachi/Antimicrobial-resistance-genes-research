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izsto-my.sharepoint.com/personal/angelo_romano_izsto_it/Documents/"/>
    </mc:Choice>
  </mc:AlternateContent>
  <xr:revisionPtr revIDLastSave="0" documentId="8_{7500EE67-F498-4A91-9432-52BF3FD8E22F}" xr6:coauthVersionLast="47" xr6:coauthVersionMax="47" xr10:uidLastSave="{00000000-0000-0000-0000-000000000000}"/>
  <bookViews>
    <workbookView xWindow="28680" yWindow="-120" windowWidth="29040" windowHeight="15720" firstSheet="4" activeTab="13" xr2:uid="{0B21F48B-A0A2-40ED-8BB9-195793F9D2F9}"/>
  </bookViews>
  <sheets>
    <sheet name="A_10102023" sheetId="3" r:id="rId1"/>
    <sheet name="B_10102023" sheetId="13" r:id="rId2"/>
    <sheet name="A_17102023" sheetId="1" r:id="rId3"/>
    <sheet name="B_17102023" sheetId="2" r:id="rId4"/>
    <sheet name="A_13112023" sheetId="4" r:id="rId5"/>
    <sheet name="B_13112023" sheetId="5" r:id="rId6"/>
    <sheet name="A_27112023" sheetId="6" r:id="rId7"/>
    <sheet name="B_27112023" sheetId="12" r:id="rId8"/>
    <sheet name="A_1122023" sheetId="9" r:id="rId9"/>
    <sheet name="B_11122023" sheetId="10" r:id="rId10"/>
    <sheet name="A_18122023" sheetId="11" r:id="rId11"/>
    <sheet name="B_18122023" sheetId="8" r:id="rId12"/>
    <sheet name="Foglio6" sheetId="20" r:id="rId13"/>
    <sheet name="tutti " sheetId="14" r:id="rId14"/>
    <sheet name="Foglio2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4" l="1"/>
  <c r="C57" i="14"/>
  <c r="C58" i="14" s="1"/>
  <c r="D57" i="14"/>
  <c r="E57" i="14"/>
  <c r="E58" i="14" s="1"/>
  <c r="F57" i="14"/>
  <c r="F58" i="14" s="1"/>
  <c r="G57" i="14"/>
  <c r="G58" i="14" s="1"/>
  <c r="H57" i="14"/>
  <c r="H58" i="14" s="1"/>
  <c r="I57" i="14"/>
  <c r="I58" i="14" s="1"/>
  <c r="J57" i="14"/>
  <c r="J58" i="14" s="1"/>
  <c r="K57" i="14"/>
  <c r="K58" i="14" s="1"/>
  <c r="L57" i="14"/>
  <c r="L58" i="14" s="1"/>
  <c r="M57" i="14"/>
  <c r="M58" i="14" s="1"/>
  <c r="B57" i="14"/>
  <c r="B58" i="14" s="1"/>
</calcChain>
</file>

<file path=xl/sharedStrings.xml><?xml version="1.0" encoding="utf-8"?>
<sst xmlns="http://schemas.openxmlformats.org/spreadsheetml/2006/main" count="2044" uniqueCount="901">
  <si>
    <t>Template</t>
  </si>
  <si>
    <t>Score</t>
  </si>
  <si>
    <t>Expected</t>
  </si>
  <si>
    <t>template length</t>
  </si>
  <si>
    <t>template id</t>
  </si>
  <si>
    <t>template coverage</t>
  </si>
  <si>
    <t>query id</t>
  </si>
  <si>
    <t>query coverage</t>
  </si>
  <si>
    <t>depth</t>
  </si>
  <si>
    <t>blaOXA-464_1_KU721146</t>
  </si>
  <si>
    <t>83.99</t>
  </si>
  <si>
    <t>92.78</t>
  </si>
  <si>
    <t>90.52</t>
  </si>
  <si>
    <t>107.78</t>
  </si>
  <si>
    <t>9.54</t>
  </si>
  <si>
    <t>qacE_1_X68232</t>
  </si>
  <si>
    <t>89.49</t>
  </si>
  <si>
    <t>93.09</t>
  </si>
  <si>
    <t>96.13</t>
  </si>
  <si>
    <t>107.42</t>
  </si>
  <si>
    <t>4.21</t>
  </si>
  <si>
    <t>erm(F)_3_M17808</t>
  </si>
  <si>
    <t>96.75</t>
  </si>
  <si>
    <t>100.00</t>
  </si>
  <si>
    <t>103.35</t>
  </si>
  <si>
    <t>6.31</t>
  </si>
  <si>
    <t>msr(E)_1_FR751518</t>
  </si>
  <si>
    <t>10.89</t>
  </si>
  <si>
    <t>mph(E)_1_DQ839391</t>
  </si>
  <si>
    <t>11.65</t>
  </si>
  <si>
    <t>mef(C)_1_AB571865</t>
  </si>
  <si>
    <t>97.71</t>
  </si>
  <si>
    <t>99.18</t>
  </si>
  <si>
    <t>98.52</t>
  </si>
  <si>
    <t>100.82</t>
  </si>
  <si>
    <t>4.66</t>
  </si>
  <si>
    <t>mph(G)_1_AB571865</t>
  </si>
  <si>
    <t>98.08</t>
  </si>
  <si>
    <t>5.69</t>
  </si>
  <si>
    <t>sul1_5_EU780013</t>
  </si>
  <si>
    <t>97.00</t>
  </si>
  <si>
    <t>103.09</t>
  </si>
  <si>
    <t>6.62</t>
  </si>
  <si>
    <t>tet(Q)_1_L33696</t>
  </si>
  <si>
    <t>94.70</t>
  </si>
  <si>
    <t>94.96</t>
  </si>
  <si>
    <t>99.73</t>
  </si>
  <si>
    <t>105.30</t>
  </si>
  <si>
    <t>4.10</t>
  </si>
  <si>
    <t>tet(X)_2_M37699</t>
  </si>
  <si>
    <t>90.75</t>
  </si>
  <si>
    <t>90.83</t>
  </si>
  <si>
    <t>99.91</t>
  </si>
  <si>
    <t>110.09</t>
  </si>
  <si>
    <t>3.50</t>
  </si>
  <si>
    <t>ant(3'')-Ia_1_X02340</t>
  </si>
  <si>
    <t>99.28</t>
  </si>
  <si>
    <t>99.38</t>
  </si>
  <si>
    <t>99.90</t>
  </si>
  <si>
    <t>100.62</t>
  </si>
  <si>
    <t>20.97</t>
  </si>
  <si>
    <t>93.04</t>
  </si>
  <si>
    <t>100.13</t>
  </si>
  <si>
    <t>92.92</t>
  </si>
  <si>
    <t>99.87</t>
  </si>
  <si>
    <t>42.86</t>
  </si>
  <si>
    <t>blaOXA-490_1_KU721147</t>
  </si>
  <si>
    <t>79.92</t>
  </si>
  <si>
    <t>90.03</t>
  </si>
  <si>
    <t>88.78</t>
  </si>
  <si>
    <t>111.08</t>
  </si>
  <si>
    <t>12.43</t>
  </si>
  <si>
    <t>blaOXA-10_1_J03427</t>
  </si>
  <si>
    <t>17.19</t>
  </si>
  <si>
    <t>blaVEB-1_1_HM370393</t>
  </si>
  <si>
    <t>99.89</t>
  </si>
  <si>
    <t>12.58</t>
  </si>
  <si>
    <t>cfxA5_1_AY769934</t>
  </si>
  <si>
    <t>99.79</t>
  </si>
  <si>
    <t>13.20</t>
  </si>
  <si>
    <t>24.08</t>
  </si>
  <si>
    <t>22.14</t>
  </si>
  <si>
    <t>29.50</t>
  </si>
  <si>
    <t>25.67</t>
  </si>
  <si>
    <t>sul1_2_U12338</t>
  </si>
  <si>
    <t>99.64</t>
  </si>
  <si>
    <t>100.36</t>
  </si>
  <si>
    <t>24.69</t>
  </si>
  <si>
    <t>99.84</t>
  </si>
  <si>
    <t>19.30</t>
  </si>
  <si>
    <t>B1</t>
  </si>
  <si>
    <t>aph(6)-Id_1_M28829</t>
  </si>
  <si>
    <t>6.38</t>
  </si>
  <si>
    <t>88.68</t>
  </si>
  <si>
    <t>88.89</t>
  </si>
  <si>
    <t>99.77</t>
  </si>
  <si>
    <t>112.50</t>
  </si>
  <si>
    <t>11.79</t>
  </si>
  <si>
    <t>aadA5_1_AF137361</t>
  </si>
  <si>
    <t>74.02</t>
  </si>
  <si>
    <t>74.40</t>
  </si>
  <si>
    <t>99.49</t>
  </si>
  <si>
    <t>134.41</t>
  </si>
  <si>
    <t>1.72</t>
  </si>
  <si>
    <t>aadA6_1_AF140629</t>
  </si>
  <si>
    <t>74.70</t>
  </si>
  <si>
    <t>74.94</t>
  </si>
  <si>
    <t>99.68</t>
  </si>
  <si>
    <t>133.44</t>
  </si>
  <si>
    <t>2.03</t>
  </si>
  <si>
    <t>ant(3'')-Ii-aac(6')-IId_1_AF453998</t>
  </si>
  <si>
    <t>77.95</t>
  </si>
  <si>
    <t>128.29</t>
  </si>
  <si>
    <t>2.76</t>
  </si>
  <si>
    <t>aac(6')-Ib-cr_1_DQ303918</t>
  </si>
  <si>
    <t>83.00</t>
  </si>
  <si>
    <t>83.33</t>
  </si>
  <si>
    <t>99.60</t>
  </si>
  <si>
    <t>120.00</t>
  </si>
  <si>
    <t>2.35</t>
  </si>
  <si>
    <t>aph(3'')-Ib_5_AF321551</t>
  </si>
  <si>
    <t>8.95</t>
  </si>
  <si>
    <t>blaOXA-347_1_ACWG01000053</t>
  </si>
  <si>
    <t>3.40</t>
  </si>
  <si>
    <t>blaOXA-392_1_AB901044</t>
  </si>
  <si>
    <t>99.52</t>
  </si>
  <si>
    <t>2.88</t>
  </si>
  <si>
    <t>74.28</t>
  </si>
  <si>
    <t>82.94</t>
  </si>
  <si>
    <t>89.56</t>
  </si>
  <si>
    <t>120.57</t>
  </si>
  <si>
    <t>3.94</t>
  </si>
  <si>
    <t>blaOXA-299_1_APQD01000016</t>
  </si>
  <si>
    <t>70.86</t>
  </si>
  <si>
    <t>74.58</t>
  </si>
  <si>
    <t>95.02</t>
  </si>
  <si>
    <t>134.08</t>
  </si>
  <si>
    <t>2.20</t>
  </si>
  <si>
    <t>blaOXA-2_1_DQ112222</t>
  </si>
  <si>
    <t>99.88</t>
  </si>
  <si>
    <t>4.78</t>
  </si>
  <si>
    <t>blaOXA-4_1_AY162283</t>
  </si>
  <si>
    <t>6.81</t>
  </si>
  <si>
    <t>5.99</t>
  </si>
  <si>
    <t>blaOXA-58_1_AY665723</t>
  </si>
  <si>
    <t>77.11</t>
  </si>
  <si>
    <t>129.69</t>
  </si>
  <si>
    <t>1.80</t>
  </si>
  <si>
    <t>blaOXA-101_1_AM412777</t>
  </si>
  <si>
    <t>92.13</t>
  </si>
  <si>
    <t>92.26</t>
  </si>
  <si>
    <t>99.86</t>
  </si>
  <si>
    <t>108.39</t>
  </si>
  <si>
    <t>2.72</t>
  </si>
  <si>
    <t>blaOXA-119_1_DQ767903</t>
  </si>
  <si>
    <t>98.13</t>
  </si>
  <si>
    <t>99.50</t>
  </si>
  <si>
    <t>98.62</t>
  </si>
  <si>
    <t>100.50</t>
  </si>
  <si>
    <t>6.25</t>
  </si>
  <si>
    <t>blaOXA-129_1_FJWZ01000025</t>
  </si>
  <si>
    <t>79.98</t>
  </si>
  <si>
    <t>80.10</t>
  </si>
  <si>
    <t>124.84</t>
  </si>
  <si>
    <t>1.83</t>
  </si>
  <si>
    <t>blaOXA-211_1_JN861779</t>
  </si>
  <si>
    <t>3.85</t>
  </si>
  <si>
    <t>blaOXA-212_1_JN861780</t>
  </si>
  <si>
    <t>76.12</t>
  </si>
  <si>
    <t>78.67</t>
  </si>
  <si>
    <t>96.76</t>
  </si>
  <si>
    <t>127.12</t>
  </si>
  <si>
    <t>1.70</t>
  </si>
  <si>
    <t>blaVEB-3_1_AY536519</t>
  </si>
  <si>
    <t>5.10</t>
  </si>
  <si>
    <t>blaAER-1_1_U14748</t>
  </si>
  <si>
    <t>75.08</t>
  </si>
  <si>
    <t>80.00</t>
  </si>
  <si>
    <t>93.85</t>
  </si>
  <si>
    <t>125.00</t>
  </si>
  <si>
    <t>1.15</t>
  </si>
  <si>
    <t>4.37</t>
  </si>
  <si>
    <t>cfxA6_1_GQ342996</t>
  </si>
  <si>
    <t>93.27</t>
  </si>
  <si>
    <t>93.47</t>
  </si>
  <si>
    <t>106.98</t>
  </si>
  <si>
    <t>3.45</t>
  </si>
  <si>
    <t>blaOXA-280_1_APPZ01000001</t>
  </si>
  <si>
    <t>76.21</t>
  </si>
  <si>
    <t>77.42</t>
  </si>
  <si>
    <t>98.44</t>
  </si>
  <si>
    <t>129.17</t>
  </si>
  <si>
    <t>2.84</t>
  </si>
  <si>
    <t>blaOXA-281_1_APON01000041</t>
  </si>
  <si>
    <t>8.59</t>
  </si>
  <si>
    <t>blaOXA-20_2_AF024602</t>
  </si>
  <si>
    <t>95.63</t>
  </si>
  <si>
    <t>104.57</t>
  </si>
  <si>
    <t>2.51</t>
  </si>
  <si>
    <t>99.70</t>
  </si>
  <si>
    <t>22.58</t>
  </si>
  <si>
    <t>qacH_1_FJ172381</t>
  </si>
  <si>
    <t>85.71</t>
  </si>
  <si>
    <t>91.01</t>
  </si>
  <si>
    <t>94.19</t>
  </si>
  <si>
    <t>109.88</t>
  </si>
  <si>
    <t>5.49</t>
  </si>
  <si>
    <t>qacL_1_NG_048048</t>
  </si>
  <si>
    <t>76.55</t>
  </si>
  <si>
    <t>80.86</t>
  </si>
  <si>
    <t>94.66</t>
  </si>
  <si>
    <t>123.67</t>
  </si>
  <si>
    <t>5.41</t>
  </si>
  <si>
    <t>ere(D)_1_KP265721</t>
  </si>
  <si>
    <t>98.86</t>
  </si>
  <si>
    <t>erm(B)_12_U18931</t>
  </si>
  <si>
    <t>84.82</t>
  </si>
  <si>
    <t>85.23</t>
  </si>
  <si>
    <t>117.33</t>
  </si>
  <si>
    <t>1.65</t>
  </si>
  <si>
    <t>10.55</t>
  </si>
  <si>
    <t>mef(A)_4_HG423652</t>
  </si>
  <si>
    <t>87.27</t>
  </si>
  <si>
    <t>89.66</t>
  </si>
  <si>
    <t>97.34</t>
  </si>
  <si>
    <t>111.54</t>
  </si>
  <si>
    <t>2.42</t>
  </si>
  <si>
    <t>mef(B)_1_FJ196385</t>
  </si>
  <si>
    <t>88.46</t>
  </si>
  <si>
    <t>92.11</t>
  </si>
  <si>
    <t>96.03</t>
  </si>
  <si>
    <t>108.56</t>
  </si>
  <si>
    <t>2.23</t>
  </si>
  <si>
    <t>msr(D)_3_AF227520</t>
  </si>
  <si>
    <t>77.19</t>
  </si>
  <si>
    <t>81.83</t>
  </si>
  <si>
    <t>94.32</t>
  </si>
  <si>
    <t>122.20</t>
  </si>
  <si>
    <t>2.33</t>
  </si>
  <si>
    <t>103.43</t>
  </si>
  <si>
    <t>mph(A)_1_D16251</t>
  </si>
  <si>
    <t>94.04</t>
  </si>
  <si>
    <t>106.34</t>
  </si>
  <si>
    <t>4.65</t>
  </si>
  <si>
    <t>83.19</t>
  </si>
  <si>
    <t>99.67</t>
  </si>
  <si>
    <t>7.25</t>
  </si>
  <si>
    <t>99.66</t>
  </si>
  <si>
    <t>8.14</t>
  </si>
  <si>
    <t>catB3_2_U13880</t>
  </si>
  <si>
    <t>81.04</t>
  </si>
  <si>
    <t>81.36</t>
  </si>
  <si>
    <t>99.61</t>
  </si>
  <si>
    <t>122.91</t>
  </si>
  <si>
    <t>2.04</t>
  </si>
  <si>
    <t>cat_2_M35190</t>
  </si>
  <si>
    <t>87.82</t>
  </si>
  <si>
    <t>90.38</t>
  </si>
  <si>
    <t>97.16</t>
  </si>
  <si>
    <t>110.64</t>
  </si>
  <si>
    <t>2.50</t>
  </si>
  <si>
    <t>qnrS2_1_DQ485530</t>
  </si>
  <si>
    <t>90.41</t>
  </si>
  <si>
    <t>110.61</t>
  </si>
  <si>
    <t>3.78</t>
  </si>
  <si>
    <t>ARR-3_1_JF806499</t>
  </si>
  <si>
    <t>99.56</t>
  </si>
  <si>
    <t>100.44</t>
  </si>
  <si>
    <t>7.31</t>
  </si>
  <si>
    <t>ARR-8_1_KC199968</t>
  </si>
  <si>
    <t>98.68</t>
  </si>
  <si>
    <t>99.12</t>
  </si>
  <si>
    <t>99.55</t>
  </si>
  <si>
    <t>100.89</t>
  </si>
  <si>
    <t>sul1_9_AY963803</t>
  </si>
  <si>
    <t>11.54</t>
  </si>
  <si>
    <t>sul2_2_AY034138</t>
  </si>
  <si>
    <t>6.34</t>
  </si>
  <si>
    <t>tet(39)_1_KT346360</t>
  </si>
  <si>
    <t>22.84</t>
  </si>
  <si>
    <t>tet(C)_2_AY046276</t>
  </si>
  <si>
    <t>79.93</t>
  </si>
  <si>
    <t>80.36</t>
  </si>
  <si>
    <t>99.47</t>
  </si>
  <si>
    <t>124.44</t>
  </si>
  <si>
    <t>2.57</t>
  </si>
  <si>
    <t>99.01</t>
  </si>
  <si>
    <t>9.82</t>
  </si>
  <si>
    <t>tet(Q)_4_Z21523</t>
  </si>
  <si>
    <t>72.07</t>
  </si>
  <si>
    <t>72.22</t>
  </si>
  <si>
    <t>99.78</t>
  </si>
  <si>
    <t>138.46</t>
  </si>
  <si>
    <t>1.51</t>
  </si>
  <si>
    <t>98.54</t>
  </si>
  <si>
    <t>98.80</t>
  </si>
  <si>
    <t>99.74</t>
  </si>
  <si>
    <t>101.21</t>
  </si>
  <si>
    <t>6.04</t>
  </si>
  <si>
    <t>tet(O/W)_4_AM889121</t>
  </si>
  <si>
    <t>74.91</t>
  </si>
  <si>
    <t>75.01</t>
  </si>
  <si>
    <t>133.31</t>
  </si>
  <si>
    <t>1.75</t>
  </si>
  <si>
    <t>dfrA14_1_KF921535</t>
  </si>
  <si>
    <t>80.59</t>
  </si>
  <si>
    <t>81.86</t>
  </si>
  <si>
    <t>98.45</t>
  </si>
  <si>
    <t>122.16</t>
  </si>
  <si>
    <t>2.02</t>
  </si>
  <si>
    <t>95.47</t>
  </si>
  <si>
    <t>95.58</t>
  </si>
  <si>
    <t>104.63</t>
  </si>
  <si>
    <t>6.07</t>
  </si>
  <si>
    <t>86.75</t>
  </si>
  <si>
    <t>96.85</t>
  </si>
  <si>
    <t>89.57</t>
  </si>
  <si>
    <t>103.25</t>
  </si>
  <si>
    <t>11.04</t>
  </si>
  <si>
    <t>7.34</t>
  </si>
  <si>
    <t>cfxA3_1_AF472622</t>
  </si>
  <si>
    <t>99.69</t>
  </si>
  <si>
    <t>100.31</t>
  </si>
  <si>
    <t>3.90</t>
  </si>
  <si>
    <t>85.29</t>
  </si>
  <si>
    <t>86.19</t>
  </si>
  <si>
    <t>98.95</t>
  </si>
  <si>
    <t>116.03</t>
  </si>
  <si>
    <t>5.81</t>
  </si>
  <si>
    <t>93.13</t>
  </si>
  <si>
    <t>107.37</t>
  </si>
  <si>
    <t>13.86</t>
  </si>
  <si>
    <t>10.70</t>
  </si>
  <si>
    <t>96.16</t>
  </si>
  <si>
    <t>98.61</t>
  </si>
  <si>
    <t>97.51</t>
  </si>
  <si>
    <t>101.41</t>
  </si>
  <si>
    <t>4.84</t>
  </si>
  <si>
    <t>95.48</t>
  </si>
  <si>
    <t>5.65</t>
  </si>
  <si>
    <t>5.22</t>
  </si>
  <si>
    <t>83.03</t>
  </si>
  <si>
    <t>120.43</t>
  </si>
  <si>
    <t>1.74</t>
  </si>
  <si>
    <t>80.45</t>
  </si>
  <si>
    <t>80.56</t>
  </si>
  <si>
    <t>124.14</t>
  </si>
  <si>
    <t>2.86</t>
  </si>
  <si>
    <t>aadA13_1_AY713504</t>
  </si>
  <si>
    <t>71.55</t>
  </si>
  <si>
    <t>139.75</t>
  </si>
  <si>
    <t>1.37</t>
  </si>
  <si>
    <t>81.89</t>
  </si>
  <si>
    <t>88.76</t>
  </si>
  <si>
    <t>2.46</t>
  </si>
  <si>
    <t>78.28</t>
  </si>
  <si>
    <t>78.65</t>
  </si>
  <si>
    <t>127.14</t>
  </si>
  <si>
    <t>1.89</t>
  </si>
  <si>
    <t>77.40</t>
  </si>
  <si>
    <t>129.19</t>
  </si>
  <si>
    <t>1.13</t>
  </si>
  <si>
    <t>92.34</t>
  </si>
  <si>
    <t>92.55</t>
  </si>
  <si>
    <t>108.05</t>
  </si>
  <si>
    <t>3.56</t>
  </si>
  <si>
    <t>99.10</t>
  </si>
  <si>
    <t>erm(B)_9_AF299292</t>
  </si>
  <si>
    <t>79.67</t>
  </si>
  <si>
    <t>125.51</t>
  </si>
  <si>
    <t>1.39</t>
  </si>
  <si>
    <t>3.93</t>
  </si>
  <si>
    <t>8.51</t>
  </si>
  <si>
    <t>89.62</t>
  </si>
  <si>
    <t>111.58</t>
  </si>
  <si>
    <t>2.05</t>
  </si>
  <si>
    <t>8.00</t>
  </si>
  <si>
    <t>91.75</t>
  </si>
  <si>
    <t>94.12</t>
  </si>
  <si>
    <t>97.48</t>
  </si>
  <si>
    <t>106.25</t>
  </si>
  <si>
    <t>2.78</t>
  </si>
  <si>
    <t>96.35</t>
  </si>
  <si>
    <t>100.91</t>
  </si>
  <si>
    <t>3.28</t>
  </si>
  <si>
    <t>98.93</t>
  </si>
  <si>
    <t>101.08</t>
  </si>
  <si>
    <t>3.68</t>
  </si>
  <si>
    <t>89.63</t>
  </si>
  <si>
    <t>90.31</t>
  </si>
  <si>
    <t>99.25</t>
  </si>
  <si>
    <t>110.73</t>
  </si>
  <si>
    <t>1.85</t>
  </si>
  <si>
    <t>96.99</t>
  </si>
  <si>
    <t>97.82</t>
  </si>
  <si>
    <t>99.15</t>
  </si>
  <si>
    <t>102.23</t>
  </si>
  <si>
    <t>4.17</t>
  </si>
  <si>
    <t>91.69</t>
  </si>
  <si>
    <t>92.12</t>
  </si>
  <si>
    <t>99.53</t>
  </si>
  <si>
    <t>2.30</t>
  </si>
  <si>
    <t>90.02</t>
  </si>
  <si>
    <t>111.09</t>
  </si>
  <si>
    <t>5.04</t>
  </si>
  <si>
    <t>aph(3'')-Ib_2_AF024602</t>
  </si>
  <si>
    <t>83.08</t>
  </si>
  <si>
    <t>120.36</t>
  </si>
  <si>
    <t>91.21</t>
  </si>
  <si>
    <t>100.52</t>
  </si>
  <si>
    <t>90.73</t>
  </si>
  <si>
    <t>99.48</t>
  </si>
  <si>
    <t>4.23</t>
  </si>
  <si>
    <t>88.93</t>
  </si>
  <si>
    <t>112.45</t>
  </si>
  <si>
    <t>1.79</t>
  </si>
  <si>
    <t>97.13</t>
  </si>
  <si>
    <t>102.96</t>
  </si>
  <si>
    <t>4.09</t>
  </si>
  <si>
    <t>95.44</t>
  </si>
  <si>
    <t>95.67</t>
  </si>
  <si>
    <t>104.53</t>
  </si>
  <si>
    <t>2.65</t>
  </si>
  <si>
    <t>cfxA_1_U38243</t>
  </si>
  <si>
    <t>97.83</t>
  </si>
  <si>
    <t>102.22</t>
  </si>
  <si>
    <t>4.27</t>
  </si>
  <si>
    <t>74.50</t>
  </si>
  <si>
    <t>133.87</t>
  </si>
  <si>
    <t>1.90</t>
  </si>
  <si>
    <t>91.59</t>
  </si>
  <si>
    <t>94.43</t>
  </si>
  <si>
    <t>103.10</t>
  </si>
  <si>
    <t>3.48</t>
  </si>
  <si>
    <t>erm(B)_1_JN899585</t>
  </si>
  <si>
    <t>92.01</t>
  </si>
  <si>
    <t>108.69</t>
  </si>
  <si>
    <t>2.21</t>
  </si>
  <si>
    <t>4.89</t>
  </si>
  <si>
    <t>99.59</t>
  </si>
  <si>
    <t>100.41</t>
  </si>
  <si>
    <t>7.93</t>
  </si>
  <si>
    <t>77.37</t>
  </si>
  <si>
    <t>77.59</t>
  </si>
  <si>
    <t>99.72</t>
  </si>
  <si>
    <t>128.88</t>
  </si>
  <si>
    <t>1.92</t>
  </si>
  <si>
    <t>7.47</t>
  </si>
  <si>
    <t>qnrD1_1_FJ228229</t>
  </si>
  <si>
    <t>78.45</t>
  </si>
  <si>
    <t>127.47</t>
  </si>
  <si>
    <t>2.13</t>
  </si>
  <si>
    <t>87.20</t>
  </si>
  <si>
    <t>114.68</t>
  </si>
  <si>
    <t>4.36</t>
  </si>
  <si>
    <t>6.36</t>
  </si>
  <si>
    <t>85.15</t>
  </si>
  <si>
    <t>86.71</t>
  </si>
  <si>
    <t>98.20</t>
  </si>
  <si>
    <t>115.33</t>
  </si>
  <si>
    <t>95.89</t>
  </si>
  <si>
    <t>104.29</t>
  </si>
  <si>
    <t>2.91</t>
  </si>
  <si>
    <t>dfrB1_1_U36276</t>
  </si>
  <si>
    <t>2.89</t>
  </si>
  <si>
    <t>77.16</t>
  </si>
  <si>
    <t>129.60</t>
  </si>
  <si>
    <t>3.34</t>
  </si>
  <si>
    <t>84.38</t>
  </si>
  <si>
    <t>94.88</t>
  </si>
  <si>
    <t>105.39</t>
  </si>
  <si>
    <t>12.06</t>
  </si>
  <si>
    <t>94.20</t>
  </si>
  <si>
    <t>106.15</t>
  </si>
  <si>
    <t>4.95</t>
  </si>
  <si>
    <t>90.39</t>
  </si>
  <si>
    <t>95.20</t>
  </si>
  <si>
    <t>94.95</t>
  </si>
  <si>
    <t>105.05</t>
  </si>
  <si>
    <t>4.72</t>
  </si>
  <si>
    <t>70.17</t>
  </si>
  <si>
    <t>71.48</t>
  </si>
  <si>
    <t>98.16</t>
  </si>
  <si>
    <t>139.90</t>
  </si>
  <si>
    <t>2.36</t>
  </si>
  <si>
    <t>95.51</t>
  </si>
  <si>
    <t>95.88</t>
  </si>
  <si>
    <t>104.30</t>
  </si>
  <si>
    <t>2.40</t>
  </si>
  <si>
    <t>7.61</t>
  </si>
  <si>
    <t>6.20</t>
  </si>
  <si>
    <t>81.81</t>
  </si>
  <si>
    <t>83.95</t>
  </si>
  <si>
    <t>97.44</t>
  </si>
  <si>
    <t>119.11</t>
  </si>
  <si>
    <t>3.17</t>
  </si>
  <si>
    <t>93.93</t>
  </si>
  <si>
    <t>95.17</t>
  </si>
  <si>
    <t>98.69</t>
  </si>
  <si>
    <t>105.07</t>
  </si>
  <si>
    <t>4.57</t>
  </si>
  <si>
    <t>79.78</t>
  </si>
  <si>
    <t>79.90</t>
  </si>
  <si>
    <t>125.16</t>
  </si>
  <si>
    <t>1.05</t>
  </si>
  <si>
    <t>83.44</t>
  </si>
  <si>
    <t>119.85</t>
  </si>
  <si>
    <t>69.37</t>
  </si>
  <si>
    <t>144.16</t>
  </si>
  <si>
    <t>2.43</t>
  </si>
  <si>
    <t>78.73</t>
  </si>
  <si>
    <t>127.02</t>
  </si>
  <si>
    <t>1.59</t>
  </si>
  <si>
    <t>4.91</t>
  </si>
  <si>
    <t>86.52</t>
  </si>
  <si>
    <t>115.58</t>
  </si>
  <si>
    <t>2.56</t>
  </si>
  <si>
    <t>73.51</t>
  </si>
  <si>
    <t>73.73</t>
  </si>
  <si>
    <t>135.63</t>
  </si>
  <si>
    <t>1.56</t>
  </si>
  <si>
    <t>93.90</t>
  </si>
  <si>
    <t>94.35</t>
  </si>
  <si>
    <t>105.99</t>
  </si>
  <si>
    <t>2.25</t>
  </si>
  <si>
    <t>96.00</t>
  </si>
  <si>
    <t>99.13</t>
  </si>
  <si>
    <t>104.16</t>
  </si>
  <si>
    <t>3.27</t>
  </si>
  <si>
    <t>72.24</t>
  </si>
  <si>
    <t>138.43</t>
  </si>
  <si>
    <t>83.51</t>
  </si>
  <si>
    <t>83.63</t>
  </si>
  <si>
    <t>119.57</t>
  </si>
  <si>
    <t>1.86</t>
  </si>
  <si>
    <t>aph(3'')-Ib_4_AF313472</t>
  </si>
  <si>
    <t>98.01</t>
  </si>
  <si>
    <t>101.90</t>
  </si>
  <si>
    <t>1.91</t>
  </si>
  <si>
    <t>77.43</t>
  </si>
  <si>
    <t>84.65</t>
  </si>
  <si>
    <t>91.47</t>
  </si>
  <si>
    <t>118.14</t>
  </si>
  <si>
    <t>5.67</t>
  </si>
  <si>
    <t>blaOXA-17_1_DQ902344</t>
  </si>
  <si>
    <t>1.84</t>
  </si>
  <si>
    <t>cfxA4_1_AY769933</t>
  </si>
  <si>
    <t>94.41</t>
  </si>
  <si>
    <t>94.72</t>
  </si>
  <si>
    <t>105.57</t>
  </si>
  <si>
    <t>83.18</t>
  </si>
  <si>
    <t>120.22</t>
  </si>
  <si>
    <t>3.21</t>
  </si>
  <si>
    <t>81.90</t>
  </si>
  <si>
    <t>86.24</t>
  </si>
  <si>
    <t>94.97</t>
  </si>
  <si>
    <t>115.95</t>
  </si>
  <si>
    <t>1.71</t>
  </si>
  <si>
    <t>8.92</t>
  </si>
  <si>
    <t>97.02</t>
  </si>
  <si>
    <t>102.95</t>
  </si>
  <si>
    <t>96.72</t>
  </si>
  <si>
    <t>103.39</t>
  </si>
  <si>
    <t>5.77</t>
  </si>
  <si>
    <t>91.67</t>
  </si>
  <si>
    <t>96.73</t>
  </si>
  <si>
    <t>94.76</t>
  </si>
  <si>
    <t>103.38</t>
  </si>
  <si>
    <t>3.63</t>
  </si>
  <si>
    <t>84.63</t>
  </si>
  <si>
    <t>94.57</t>
  </si>
  <si>
    <t>111.74</t>
  </si>
  <si>
    <t>2.99</t>
  </si>
  <si>
    <t>cmlA1_1_M64556</t>
  </si>
  <si>
    <t>80.71</t>
  </si>
  <si>
    <t>81.03</t>
  </si>
  <si>
    <t>123.41</t>
  </si>
  <si>
    <t>80.85</t>
  </si>
  <si>
    <t>80.97</t>
  </si>
  <si>
    <t>123.50</t>
  </si>
  <si>
    <t>2.94</t>
  </si>
  <si>
    <t>6.23</t>
  </si>
  <si>
    <t>74.89</t>
  </si>
  <si>
    <t>133.52</t>
  </si>
  <si>
    <t>90.93</t>
  </si>
  <si>
    <t>109.98</t>
  </si>
  <si>
    <t>90.64</t>
  </si>
  <si>
    <t>91.26</t>
  </si>
  <si>
    <t>99.32</t>
  </si>
  <si>
    <t>109.58</t>
  </si>
  <si>
    <t>4.00</t>
  </si>
  <si>
    <t>71.39</t>
  </si>
  <si>
    <t>80.84</t>
  </si>
  <si>
    <t>88.31</t>
  </si>
  <si>
    <t>123.70</t>
  </si>
  <si>
    <t>7.98</t>
  </si>
  <si>
    <t>blaOXA-520_1_KX388630</t>
  </si>
  <si>
    <t>81.27</t>
  </si>
  <si>
    <t>123.04</t>
  </si>
  <si>
    <t>96.67</t>
  </si>
  <si>
    <t>99.31</t>
  </si>
  <si>
    <t>103.45</t>
  </si>
  <si>
    <t>2.37</t>
  </si>
  <si>
    <t>94.93</t>
  </si>
  <si>
    <t>95.03</t>
  </si>
  <si>
    <t>105.23</t>
  </si>
  <si>
    <t>4.63</t>
  </si>
  <si>
    <t>87.09</t>
  </si>
  <si>
    <t>95.52</t>
  </si>
  <si>
    <t>114.83</t>
  </si>
  <si>
    <t>2.41</t>
  </si>
  <si>
    <t>6.26</t>
  </si>
  <si>
    <t>5.02</t>
  </si>
  <si>
    <t>80.13</t>
  </si>
  <si>
    <t>124.79</t>
  </si>
  <si>
    <t>5.94</t>
  </si>
  <si>
    <t>100.12</t>
  </si>
  <si>
    <t>7.97</t>
  </si>
  <si>
    <t>9.24</t>
  </si>
  <si>
    <t>84.06</t>
  </si>
  <si>
    <t>84.15</t>
  </si>
  <si>
    <t>118.84</t>
  </si>
  <si>
    <t>3.07</t>
  </si>
  <si>
    <t>99.16</t>
  </si>
  <si>
    <t>100.72</t>
  </si>
  <si>
    <t>65.67</t>
  </si>
  <si>
    <t>65.80</t>
  </si>
  <si>
    <t>99.81</t>
  </si>
  <si>
    <t>151.98</t>
  </si>
  <si>
    <t>1.25</t>
  </si>
  <si>
    <t>ant(6)-Ia_3_KF864551</t>
  </si>
  <si>
    <t>72.55</t>
  </si>
  <si>
    <t>72.90</t>
  </si>
  <si>
    <t>137.18</t>
  </si>
  <si>
    <t>1.52</t>
  </si>
  <si>
    <t>aac(6')-31_1_AM283489</t>
  </si>
  <si>
    <t>95.38</t>
  </si>
  <si>
    <t>2.32</t>
  </si>
  <si>
    <t>86.11</t>
  </si>
  <si>
    <t>86.32</t>
  </si>
  <si>
    <t>99.76</t>
  </si>
  <si>
    <t>115.85</t>
  </si>
  <si>
    <t>4.64</t>
  </si>
  <si>
    <t>blaOXA-415_1_KJ865754</t>
  </si>
  <si>
    <t>68.24</t>
  </si>
  <si>
    <t>146.55</t>
  </si>
  <si>
    <t>blaOXA-427_1_KX827604</t>
  </si>
  <si>
    <t>64.15</t>
  </si>
  <si>
    <t>69.18</t>
  </si>
  <si>
    <t>92.73</t>
  </si>
  <si>
    <t>144.55</t>
  </si>
  <si>
    <t>1.45</t>
  </si>
  <si>
    <t>97.63</t>
  </si>
  <si>
    <t>102.43</t>
  </si>
  <si>
    <t>83.56</t>
  </si>
  <si>
    <t>119.68</t>
  </si>
  <si>
    <t>90.27</t>
  </si>
  <si>
    <t>90.37</t>
  </si>
  <si>
    <t>110.65</t>
  </si>
  <si>
    <t>blaGES-1_1_HQ170511</t>
  </si>
  <si>
    <t>82.75</t>
  </si>
  <si>
    <t>120.84</t>
  </si>
  <si>
    <t>1.63</t>
  </si>
  <si>
    <t>90.09</t>
  </si>
  <si>
    <t>111.00</t>
  </si>
  <si>
    <t>5.92</t>
  </si>
  <si>
    <t>70.92</t>
  </si>
  <si>
    <t>75.42</t>
  </si>
  <si>
    <t>94.03</t>
  </si>
  <si>
    <t>132.59</t>
  </si>
  <si>
    <t>4.74</t>
  </si>
  <si>
    <t>erm(B)_10_U86375</t>
  </si>
  <si>
    <t>96.21</t>
  </si>
  <si>
    <t>103.07</t>
  </si>
  <si>
    <t>8.09</t>
  </si>
  <si>
    <t>77.48</t>
  </si>
  <si>
    <t>79.51</t>
  </si>
  <si>
    <t>125.77</t>
  </si>
  <si>
    <t>1.93</t>
  </si>
  <si>
    <t>94.58</t>
  </si>
  <si>
    <t>94.65</t>
  </si>
  <si>
    <t>99.93</t>
  </si>
  <si>
    <t>105.65</t>
  </si>
  <si>
    <t>4.14</t>
  </si>
  <si>
    <t>93.33</t>
  </si>
  <si>
    <t>93.45</t>
  </si>
  <si>
    <t>107.01</t>
  </si>
  <si>
    <t>4.15</t>
  </si>
  <si>
    <t>qnrB19_1_EU432277</t>
  </si>
  <si>
    <t>6.68</t>
  </si>
  <si>
    <t>79.60</t>
  </si>
  <si>
    <t>125.62</t>
  </si>
  <si>
    <t>98.33</t>
  </si>
  <si>
    <t>101.69</t>
  </si>
  <si>
    <t>8.17</t>
  </si>
  <si>
    <t>tet(A)_4_AJ517790</t>
  </si>
  <si>
    <t>87.50</t>
  </si>
  <si>
    <t>114.29</t>
  </si>
  <si>
    <t>91.50</t>
  </si>
  <si>
    <t>91.58</t>
  </si>
  <si>
    <t>109.19</t>
  </si>
  <si>
    <t>9.01</t>
  </si>
  <si>
    <t>tet(Q)_2_X58717</t>
  </si>
  <si>
    <t>68.33</t>
  </si>
  <si>
    <t>71.08</t>
  </si>
  <si>
    <t>140.69</t>
  </si>
  <si>
    <t>1.31</t>
  </si>
  <si>
    <t>61.94</t>
  </si>
  <si>
    <t>65.73</t>
  </si>
  <si>
    <t>94.23</t>
  </si>
  <si>
    <t>152.13</t>
  </si>
  <si>
    <t>2.07</t>
  </si>
  <si>
    <t>tet(X)_1_GU014535</t>
  </si>
  <si>
    <t>83.98</t>
  </si>
  <si>
    <t>119.08</t>
  </si>
  <si>
    <t>tet(W)_3_AJ427421</t>
  </si>
  <si>
    <t>73.07</t>
  </si>
  <si>
    <t>73.28</t>
  </si>
  <si>
    <t>136.46</t>
  </si>
  <si>
    <t>dfrA1_3_GU726913</t>
  </si>
  <si>
    <t>63.71</t>
  </si>
  <si>
    <t>156.95</t>
  </si>
  <si>
    <t>0.64</t>
  </si>
  <si>
    <t>80.41</t>
  </si>
  <si>
    <t>80.65</t>
  </si>
  <si>
    <t>124.00</t>
  </si>
  <si>
    <t>77.26</t>
  </si>
  <si>
    <t>78.91</t>
  </si>
  <si>
    <t>97.91</t>
  </si>
  <si>
    <t>126.73</t>
  </si>
  <si>
    <t>2.10</t>
  </si>
  <si>
    <t>69.90</t>
  </si>
  <si>
    <t>143.06</t>
  </si>
  <si>
    <t>1.55</t>
  </si>
  <si>
    <t>80.43</t>
  </si>
  <si>
    <t>124.32</t>
  </si>
  <si>
    <t>1.73</t>
  </si>
  <si>
    <t>129.07</t>
  </si>
  <si>
    <t>1.97</t>
  </si>
  <si>
    <t>99.63</t>
  </si>
  <si>
    <t>99.75</t>
  </si>
  <si>
    <t>100.25</t>
  </si>
  <si>
    <t>3.11</t>
  </si>
  <si>
    <t>97.09</t>
  </si>
  <si>
    <t>97.22</t>
  </si>
  <si>
    <t>102.86</t>
  </si>
  <si>
    <t>5.07</t>
  </si>
  <si>
    <t>99.44</t>
  </si>
  <si>
    <t>100.57</t>
  </si>
  <si>
    <t>3.61</t>
  </si>
  <si>
    <t>81.21</t>
  </si>
  <si>
    <t>82.60</t>
  </si>
  <si>
    <t>98.32</t>
  </si>
  <si>
    <t>121.07</t>
  </si>
  <si>
    <t>70.06</t>
  </si>
  <si>
    <t>71.30</t>
  </si>
  <si>
    <t>98.26</t>
  </si>
  <si>
    <t>140.25</t>
  </si>
  <si>
    <t>qnrVC4_1_GQ891757</t>
  </si>
  <si>
    <t>66.67</t>
  </si>
  <si>
    <t>150.00</t>
  </si>
  <si>
    <t>4.34</t>
  </si>
  <si>
    <t>96.26</t>
  </si>
  <si>
    <t>96.88</t>
  </si>
  <si>
    <t>99.36</t>
  </si>
  <si>
    <t>103.22</t>
  </si>
  <si>
    <t>70.35</t>
  </si>
  <si>
    <t>71.75</t>
  </si>
  <si>
    <t>98.05</t>
  </si>
  <si>
    <t>139.36</t>
  </si>
  <si>
    <t>1.34</t>
  </si>
  <si>
    <t>69.24</t>
  </si>
  <si>
    <t>144.43</t>
  </si>
  <si>
    <t>1.54</t>
  </si>
  <si>
    <t>aac(6')</t>
  </si>
  <si>
    <t>aadA</t>
  </si>
  <si>
    <t>ant(3'')-Ia</t>
  </si>
  <si>
    <t>ant(3'')-Ii-aac(6')-II</t>
  </si>
  <si>
    <t>aph(3'')-Ib</t>
  </si>
  <si>
    <t>aph(6)</t>
  </si>
  <si>
    <t>blaOXA</t>
  </si>
  <si>
    <t>blaVEB</t>
  </si>
  <si>
    <t>cfxA</t>
  </si>
  <si>
    <t>dfrA</t>
  </si>
  <si>
    <t>erm(B)</t>
  </si>
  <si>
    <t>erm(F)</t>
  </si>
  <si>
    <t>mef(B)</t>
  </si>
  <si>
    <t>mef(C)</t>
  </si>
  <si>
    <t>mph(A</t>
  </si>
  <si>
    <t>mph(E)</t>
  </si>
  <si>
    <t>mph(G)</t>
  </si>
  <si>
    <t>msr(E)</t>
  </si>
  <si>
    <t>qacE</t>
  </si>
  <si>
    <t>qacH</t>
  </si>
  <si>
    <t>qacL</t>
  </si>
  <si>
    <t>qnrD</t>
  </si>
  <si>
    <t>qnrS2</t>
  </si>
  <si>
    <t>sul</t>
  </si>
  <si>
    <t>tet(39)</t>
  </si>
  <si>
    <t>tet(A)</t>
  </si>
  <si>
    <t>tet©</t>
  </si>
  <si>
    <t>tet(Q)</t>
  </si>
  <si>
    <t>tet(X)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</si>
  <si>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</si>
  <si>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</si>
  <si>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</si>
  <si>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</si>
  <si>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</si>
  <si>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</si>
  <si>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</si>
  <si>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</si>
  <si>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</si>
  <si>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</si>
  <si>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</si>
  <si>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</si>
  <si>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gene</t>
  </si>
  <si>
    <t>ant(3'')-Ia_1</t>
  </si>
  <si>
    <t>aph(6)-Id_1</t>
  </si>
  <si>
    <t>blaOXA-10</t>
  </si>
  <si>
    <t>qacE_1</t>
  </si>
  <si>
    <t>blaOXA-464</t>
  </si>
  <si>
    <t>aph(3'')-Ib_2</t>
  </si>
  <si>
    <t>cfxA_1</t>
  </si>
  <si>
    <t>aph(3'')-Ib_4</t>
  </si>
  <si>
    <t>blaOXA-490</t>
  </si>
  <si>
    <t>erm(F)_3</t>
  </si>
  <si>
    <t>aadA5_1</t>
  </si>
  <si>
    <t>aadA13_1</t>
  </si>
  <si>
    <t>cfxA3_1</t>
  </si>
  <si>
    <t>blaOXA-520_1</t>
  </si>
  <si>
    <t>ant(6)-Ia_3</t>
  </si>
  <si>
    <t>msr(E)_1</t>
  </si>
  <si>
    <t>aadA6_1</t>
  </si>
  <si>
    <t>blaOXA-4_1</t>
  </si>
  <si>
    <t>erm(B)_1</t>
  </si>
  <si>
    <t>ablaOXA-17_1</t>
  </si>
  <si>
    <t>blaVEB-1_1</t>
  </si>
  <si>
    <t>aac(6')-31_1</t>
  </si>
  <si>
    <t>mph(E)_1</t>
  </si>
  <si>
    <t>ant(3'')-Ii-aac(6')-IId_1</t>
  </si>
  <si>
    <t>qacL_1</t>
  </si>
  <si>
    <t>cfxA4_1</t>
  </si>
  <si>
    <t>mef(C)_1</t>
  </si>
  <si>
    <t>cfxA5_1</t>
  </si>
  <si>
    <t>aac(6')-Ib-cr_1</t>
  </si>
  <si>
    <t>blaOXA-101_1</t>
  </si>
  <si>
    <t>blaOXA-415</t>
  </si>
  <si>
    <t>mph(G)_1</t>
  </si>
  <si>
    <t>aph(3'')-Ib_5</t>
  </si>
  <si>
    <t>mph(A)_1</t>
  </si>
  <si>
    <t>qacH_1</t>
  </si>
  <si>
    <t>blaOXA-427_1</t>
  </si>
  <si>
    <t>sul1_5</t>
  </si>
  <si>
    <t>blaOXA-347_1</t>
  </si>
  <si>
    <t>cfxA6_1</t>
  </si>
  <si>
    <t>tet(Q)_1</t>
  </si>
  <si>
    <t>erm(B)_9</t>
  </si>
  <si>
    <t>tet(X)_2</t>
  </si>
  <si>
    <t>sul1_2</t>
  </si>
  <si>
    <t>blaOXA-299_1</t>
  </si>
  <si>
    <t>sul1_9</t>
  </si>
  <si>
    <t>blaGES-1_1</t>
  </si>
  <si>
    <t>qnrVC4_1</t>
  </si>
  <si>
    <t>blaOXA-2_1</t>
  </si>
  <si>
    <t>cmlA1_1</t>
  </si>
  <si>
    <t>erm(B)_10</t>
  </si>
  <si>
    <t>tet(Q)_2</t>
  </si>
  <si>
    <t>blaOXA-58_1</t>
  </si>
  <si>
    <t>qnrD1_1</t>
  </si>
  <si>
    <t>qnrS2_1</t>
  </si>
  <si>
    <t>mef(B)_1</t>
  </si>
  <si>
    <t>blaOXA-119_1</t>
  </si>
  <si>
    <t>tet(C)_2</t>
  </si>
  <si>
    <t>dfrA14_1</t>
  </si>
  <si>
    <t>blaOXA-129_1</t>
  </si>
  <si>
    <t>blaOXA-211_1</t>
  </si>
  <si>
    <t>tet(Q)_4</t>
  </si>
  <si>
    <t>blaOXA-212_1</t>
  </si>
  <si>
    <t>qnrB19_1</t>
  </si>
  <si>
    <t>blaVEB-3_1</t>
  </si>
  <si>
    <t>dfrB1_1</t>
  </si>
  <si>
    <t>blaAER-1_1</t>
  </si>
  <si>
    <t>tet(A)_4</t>
  </si>
  <si>
    <t>blaOXA-280_1</t>
  </si>
  <si>
    <t>blaOXA-281_1</t>
  </si>
  <si>
    <t>blaOXA-20_2</t>
  </si>
  <si>
    <t>tet(X)_1</t>
  </si>
  <si>
    <t>tet(W)_3</t>
  </si>
  <si>
    <t>ere(D)_1</t>
  </si>
  <si>
    <t>dfrA1_3</t>
  </si>
  <si>
    <t>erm(B)_12</t>
  </si>
  <si>
    <t>mef(A)_4</t>
  </si>
  <si>
    <t>msr(D)_3</t>
  </si>
  <si>
    <t>catB3_2</t>
  </si>
  <si>
    <t>cat_2</t>
  </si>
  <si>
    <t>ARR-3_1</t>
  </si>
  <si>
    <t>ARR-8_1</t>
  </si>
  <si>
    <t>sul2_2</t>
  </si>
  <si>
    <t>tet(O/W)_4</t>
  </si>
  <si>
    <t>Numero geni di resistenza/campione</t>
  </si>
  <si>
    <t>geni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</si>
</sst>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theme="1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e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C3A7C2-3C22-402B-A7B4-26A1093A6784}" name="Tabella2" displayName="Tabella2" ref="B1:M56" totalsRowShown="0" headerRowDxfId="0">
  <autoFilter ref="B1:M56" xr:uid="{11C3A7C2-3C22-402B-A7B4-26A1093A6784}"/>
  <tableColumns count="12">
    <tableColumn id="1" xr3:uid="{7B72E1EB-1269-49EF-8C2E-7447DD82EE91}" name="1"/>
    <tableColumn id="2" xr3:uid="{07EF1D52-6B58-4549-8675-799AD754C740}" name="2"/>
    <tableColumn id="3" xr3:uid="{549142D2-6E70-460A-81A8-C8BBBC2D4DF3}" name="3"/>
    <tableColumn id="4" xr3:uid="{4167F32D-2220-4FE0-8B2D-EAE36E626BA0}" name="4"/>
    <tableColumn id="5" xr3:uid="{B29D9FCE-0EEB-4D5F-B03A-6B9E8C719D3C}" name="5"/>
    <tableColumn id="6" xr3:uid="{945D22E4-3ABA-4579-916A-A71E488443D8}" name="6"/>
    <tableColumn id="7" xr3:uid="{FD384B55-0908-4101-B7E0-9994C0E561A1}" name="7"/>
    <tableColumn id="8" xr3:uid="{E1987B42-6AD4-4493-8B38-F351353E77D9}" name="8"/>
    <tableColumn id="9" xr3:uid="{0775B6ED-423B-4788-ADA6-8141BA652117}" name="9"/>
    <tableColumn id="10" xr3:uid="{32591FE0-0838-425D-9694-C1825D5B7A82}" name="10"/>
    <tableColumn id="11" xr3:uid="{C8F7DED0-ED0B-4AF3-A7CC-D73B7677B4E6}" name="11"/>
    <tableColumn id="12" xr3:uid="{D47D2D80-DF71-47E5-ABEF-98EB27F2B487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B04-928B-4A2F-A75B-9F04190AA42E}">
  <dimension ref="A1:I11"/>
  <sheetViews>
    <sheetView workbookViewId="0">
      <selection activeCell="D23" sqref="D23"/>
    </sheetView>
  </sheetViews>
  <sheetFormatPr defaultColWidth="37.85546875" defaultRowHeight="14.45"/>
  <cols>
    <col min="1" max="1" width="32.5703125" bestFit="1" customWidth="1"/>
    <col min="2" max="2" width="9.42578125" bestFit="1" customWidth="1"/>
    <col min="3" max="3" width="12.5703125" bestFit="1" customWidth="1"/>
    <col min="4" max="5" width="12.28515625" bestFit="1" customWidth="1"/>
    <col min="6" max="6" width="12.5703125" bestFit="1" customWidth="1"/>
    <col min="7" max="7" width="11.42578125" bestFit="1" customWidth="1"/>
    <col min="8" max="8" width="12.5703125" bestFit="1" customWidth="1"/>
    <col min="9" max="9" width="8.7109375" bestFit="1" customWidth="1"/>
  </cols>
  <sheetData>
    <row r="1" spans="1:9" s="1" customFormat="1" ht="33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9</v>
      </c>
      <c r="B2" s="3">
        <v>4784</v>
      </c>
      <c r="C2" s="3">
        <v>37</v>
      </c>
      <c r="D2" s="3">
        <v>762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ht="16.899999999999999" thickBot="1">
      <c r="A3" s="3" t="s">
        <v>15</v>
      </c>
      <c r="B3" s="3">
        <v>1309</v>
      </c>
      <c r="C3" s="3">
        <v>16</v>
      </c>
      <c r="D3" s="3">
        <v>333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</row>
    <row r="4" spans="1:9" ht="16.899999999999999" thickBot="1">
      <c r="A4" s="3" t="s">
        <v>21</v>
      </c>
      <c r="B4" s="3">
        <v>4959</v>
      </c>
      <c r="C4" s="3">
        <v>39</v>
      </c>
      <c r="D4" s="3">
        <v>801</v>
      </c>
      <c r="E4" s="3" t="s">
        <v>22</v>
      </c>
      <c r="F4" s="3" t="s">
        <v>22</v>
      </c>
      <c r="G4" s="3" t="s">
        <v>23</v>
      </c>
      <c r="H4" s="3" t="s">
        <v>24</v>
      </c>
      <c r="I4" s="3" t="s">
        <v>25</v>
      </c>
    </row>
    <row r="5" spans="1:9" ht="16.899999999999999" thickBot="1">
      <c r="A5" s="3" t="s">
        <v>26</v>
      </c>
      <c r="B5" s="3">
        <v>15983</v>
      </c>
      <c r="C5" s="3">
        <v>66</v>
      </c>
      <c r="D5" s="3">
        <v>1476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27</v>
      </c>
    </row>
    <row r="6" spans="1:9" ht="16.899999999999999" thickBot="1">
      <c r="A6" s="3" t="s">
        <v>28</v>
      </c>
      <c r="B6" s="3">
        <v>10205</v>
      </c>
      <c r="C6" s="3">
        <v>41</v>
      </c>
      <c r="D6" s="3">
        <v>885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29</v>
      </c>
    </row>
    <row r="7" spans="1:9" ht="16.899999999999999" thickBot="1">
      <c r="A7" s="3" t="s">
        <v>30</v>
      </c>
      <c r="B7" s="3">
        <v>5003</v>
      </c>
      <c r="C7" s="3">
        <v>59</v>
      </c>
      <c r="D7" s="3">
        <v>1224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</row>
    <row r="8" spans="1:9" ht="16.899999999999999" thickBot="1">
      <c r="A8" s="3" t="s">
        <v>36</v>
      </c>
      <c r="B8" s="3">
        <v>4523</v>
      </c>
      <c r="C8" s="3">
        <v>43</v>
      </c>
      <c r="D8" s="3">
        <v>885</v>
      </c>
      <c r="E8" s="3" t="s">
        <v>37</v>
      </c>
      <c r="F8" s="3" t="s">
        <v>23</v>
      </c>
      <c r="G8" s="3" t="s">
        <v>37</v>
      </c>
      <c r="H8" s="3" t="s">
        <v>23</v>
      </c>
      <c r="I8" s="3" t="s">
        <v>38</v>
      </c>
    </row>
    <row r="9" spans="1:9" ht="16.899999999999999" thickBot="1">
      <c r="A9" s="3" t="s">
        <v>39</v>
      </c>
      <c r="B9" s="3">
        <v>5706</v>
      </c>
      <c r="C9" s="3">
        <v>42</v>
      </c>
      <c r="D9" s="3">
        <v>867</v>
      </c>
      <c r="E9" s="3" t="s">
        <v>40</v>
      </c>
      <c r="F9" s="3" t="s">
        <v>40</v>
      </c>
      <c r="G9" s="3" t="s">
        <v>23</v>
      </c>
      <c r="H9" s="3" t="s">
        <v>41</v>
      </c>
      <c r="I9" s="3" t="s">
        <v>42</v>
      </c>
    </row>
    <row r="10" spans="1:9" ht="16.899999999999999" thickBot="1">
      <c r="A10" s="3" t="s">
        <v>43</v>
      </c>
      <c r="B10" s="3">
        <v>7568</v>
      </c>
      <c r="C10" s="3">
        <v>92</v>
      </c>
      <c r="D10" s="3">
        <v>1926</v>
      </c>
      <c r="E10" s="3" t="s">
        <v>44</v>
      </c>
      <c r="F10" s="3" t="s">
        <v>45</v>
      </c>
      <c r="G10" s="3" t="s">
        <v>46</v>
      </c>
      <c r="H10" s="3" t="s">
        <v>47</v>
      </c>
      <c r="I10" s="3" t="s">
        <v>48</v>
      </c>
    </row>
    <row r="11" spans="1:9" ht="16.899999999999999" thickBot="1">
      <c r="A11" s="3" t="s">
        <v>49</v>
      </c>
      <c r="B11" s="3">
        <v>3993</v>
      </c>
      <c r="C11" s="3">
        <v>57</v>
      </c>
      <c r="D11" s="3">
        <v>1167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B562-E6B1-4F62-89CB-AA84E9B49A96}">
  <dimension ref="A1:J19"/>
  <sheetViews>
    <sheetView workbookViewId="0">
      <selection activeCell="A2" sqref="A2:A13"/>
    </sheetView>
  </sheetViews>
  <sheetFormatPr defaultColWidth="33" defaultRowHeight="14.45"/>
  <cols>
    <col min="1" max="1" width="31.5703125" bestFit="1" customWidth="1"/>
    <col min="2" max="2" width="8.42578125" bestFit="1" customWidth="1"/>
    <col min="3" max="3" width="12.5703125" bestFit="1" customWidth="1"/>
    <col min="4" max="4" width="13.7109375" customWidth="1"/>
    <col min="5" max="5" width="12.42578125" customWidth="1"/>
    <col min="6" max="6" width="22" customWidth="1"/>
    <col min="7" max="7" width="12.28515625" bestFit="1" customWidth="1"/>
    <col min="8" max="8" width="20" customWidth="1"/>
    <col min="9" max="9" width="8.28515625" bestFit="1" customWidth="1"/>
  </cols>
  <sheetData>
    <row r="1" spans="1:10" ht="48.6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ht="16.899999999999999" thickBot="1">
      <c r="A2" s="3" t="s">
        <v>55</v>
      </c>
      <c r="B2" s="3">
        <v>18555</v>
      </c>
      <c r="C2" s="3">
        <v>168</v>
      </c>
      <c r="D2" s="3">
        <v>972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/>
    </row>
    <row r="3" spans="1:10" ht="16.899999999999999" thickBot="1">
      <c r="A3" s="3" t="s">
        <v>9</v>
      </c>
      <c r="B3" s="3">
        <v>21477</v>
      </c>
      <c r="C3" s="3">
        <v>131</v>
      </c>
      <c r="D3" s="3">
        <v>762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/>
    </row>
    <row r="4" spans="1:10" ht="16.899999999999999" thickBot="1">
      <c r="A4" s="3" t="s">
        <v>66</v>
      </c>
      <c r="B4" s="3">
        <v>6361</v>
      </c>
      <c r="C4" s="3">
        <v>135</v>
      </c>
      <c r="D4" s="3">
        <v>762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/>
    </row>
    <row r="5" spans="1:10" ht="16.899999999999999" thickBot="1">
      <c r="A5" s="3" t="s">
        <v>72</v>
      </c>
      <c r="B5" s="3">
        <v>13476</v>
      </c>
      <c r="C5" s="3">
        <v>140</v>
      </c>
      <c r="D5" s="3">
        <v>801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73</v>
      </c>
      <c r="J5" s="3"/>
    </row>
    <row r="6" spans="1:10" ht="16.899999999999999" thickBot="1">
      <c r="A6" s="3" t="s">
        <v>74</v>
      </c>
      <c r="B6" s="3">
        <v>11166</v>
      </c>
      <c r="C6" s="3">
        <v>158</v>
      </c>
      <c r="D6" s="3">
        <v>900</v>
      </c>
      <c r="E6" s="3" t="s">
        <v>75</v>
      </c>
      <c r="F6" s="3" t="s">
        <v>23</v>
      </c>
      <c r="G6" s="3" t="s">
        <v>75</v>
      </c>
      <c r="H6" s="3" t="s">
        <v>23</v>
      </c>
      <c r="I6" s="3" t="s">
        <v>76</v>
      </c>
      <c r="J6" s="3"/>
    </row>
    <row r="7" spans="1:10" ht="16.899999999999999" thickBot="1">
      <c r="A7" s="3" t="s">
        <v>77</v>
      </c>
      <c r="B7" s="3">
        <v>12288</v>
      </c>
      <c r="C7" s="3">
        <v>169</v>
      </c>
      <c r="D7" s="3">
        <v>966</v>
      </c>
      <c r="E7" s="3" t="s">
        <v>78</v>
      </c>
      <c r="F7" s="3" t="s">
        <v>23</v>
      </c>
      <c r="G7" s="3" t="s">
        <v>78</v>
      </c>
      <c r="H7" s="3" t="s">
        <v>23</v>
      </c>
      <c r="I7" s="3" t="s">
        <v>79</v>
      </c>
      <c r="J7" s="3"/>
    </row>
    <row r="8" spans="1:10" ht="16.899999999999999" thickBot="1">
      <c r="A8" s="3" t="s">
        <v>15</v>
      </c>
      <c r="B8" s="3">
        <v>7616</v>
      </c>
      <c r="C8" s="3">
        <v>58</v>
      </c>
      <c r="D8" s="3">
        <v>333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80</v>
      </c>
      <c r="J8" s="3"/>
    </row>
    <row r="9" spans="1:10" ht="16.899999999999999" thickBot="1">
      <c r="A9" s="3" t="s">
        <v>21</v>
      </c>
      <c r="B9" s="3">
        <v>17271</v>
      </c>
      <c r="C9" s="3">
        <v>139</v>
      </c>
      <c r="D9" s="3">
        <v>801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81</v>
      </c>
      <c r="J9" s="3"/>
    </row>
    <row r="10" spans="1:10" ht="16.899999999999999" thickBot="1">
      <c r="A10" s="3" t="s">
        <v>26</v>
      </c>
      <c r="B10" s="3">
        <v>42761</v>
      </c>
      <c r="C10" s="3">
        <v>243</v>
      </c>
      <c r="D10" s="3">
        <v>1476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82</v>
      </c>
      <c r="J10" s="3"/>
    </row>
    <row r="11" spans="1:10" ht="16.899999999999999" thickBot="1">
      <c r="A11" s="3" t="s">
        <v>28</v>
      </c>
      <c r="B11" s="3">
        <v>22313</v>
      </c>
      <c r="C11" s="3">
        <v>152</v>
      </c>
      <c r="D11" s="3">
        <v>885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83</v>
      </c>
      <c r="J11" s="3"/>
    </row>
    <row r="12" spans="1:10" ht="16.899999999999999" thickBot="1">
      <c r="A12" s="4" t="s">
        <v>84</v>
      </c>
      <c r="B12" s="4">
        <v>20289</v>
      </c>
      <c r="C12" s="4">
        <v>145</v>
      </c>
      <c r="D12" s="4">
        <v>840</v>
      </c>
      <c r="E12" s="4" t="s">
        <v>85</v>
      </c>
      <c r="F12" s="4" t="s">
        <v>85</v>
      </c>
      <c r="G12" s="4" t="s">
        <v>23</v>
      </c>
      <c r="H12" s="4" t="s">
        <v>86</v>
      </c>
      <c r="I12" s="4" t="s">
        <v>87</v>
      </c>
      <c r="J12" s="4"/>
    </row>
    <row r="13" spans="1:10" ht="16.899999999999999" thickBot="1">
      <c r="A13" s="3" t="s">
        <v>43</v>
      </c>
      <c r="B13" s="3">
        <v>34845</v>
      </c>
      <c r="C13" s="3">
        <v>323</v>
      </c>
      <c r="D13" s="3">
        <v>1926</v>
      </c>
      <c r="E13" s="3" t="s">
        <v>88</v>
      </c>
      <c r="F13" s="3" t="s">
        <v>23</v>
      </c>
      <c r="G13" s="3" t="s">
        <v>88</v>
      </c>
      <c r="H13" s="3" t="s">
        <v>23</v>
      </c>
      <c r="I13" s="3" t="s">
        <v>89</v>
      </c>
      <c r="J13" s="3"/>
    </row>
    <row r="19" spans="4:4">
      <c r="D1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9215-F028-45D8-8AAA-8D0CEBE62FE1}">
  <dimension ref="A1:I56"/>
  <sheetViews>
    <sheetView topLeftCell="A15" workbookViewId="0">
      <selection activeCell="J27" sqref="J27"/>
    </sheetView>
  </sheetViews>
  <sheetFormatPr defaultColWidth="57.85546875" defaultRowHeight="14.45"/>
  <cols>
    <col min="1" max="1" width="41.5703125" bestFit="1" customWidth="1"/>
    <col min="2" max="2" width="12.28515625" bestFit="1" customWidth="1"/>
    <col min="3" max="3" width="14.28515625" bestFit="1" customWidth="1"/>
    <col min="4" max="4" width="18.5703125" customWidth="1"/>
    <col min="5" max="5" width="18.42578125" bestFit="1" customWidth="1"/>
    <col min="6" max="6" width="20.42578125" customWidth="1"/>
    <col min="7" max="7" width="13.85546875" bestFit="1" customWidth="1"/>
    <col min="8" max="8" width="19.85546875" customWidth="1"/>
    <col min="9" max="9" width="11.42578125" bestFit="1" customWidth="1"/>
  </cols>
  <sheetData>
    <row r="1" spans="1:9" ht="33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91</v>
      </c>
      <c r="B2" s="3">
        <v>5207</v>
      </c>
      <c r="C2" s="3">
        <v>149</v>
      </c>
      <c r="D2" s="3">
        <v>837</v>
      </c>
      <c r="E2" s="3" t="s">
        <v>23</v>
      </c>
      <c r="F2" s="3" t="s">
        <v>23</v>
      </c>
      <c r="G2" s="3" t="s">
        <v>23</v>
      </c>
      <c r="H2" s="3" t="s">
        <v>23</v>
      </c>
      <c r="I2" s="3" t="s">
        <v>92</v>
      </c>
    </row>
    <row r="3" spans="1:9" ht="16.899999999999999" thickBot="1">
      <c r="A3" s="3" t="s">
        <v>55</v>
      </c>
      <c r="B3" s="3">
        <v>10686</v>
      </c>
      <c r="C3" s="3">
        <v>171</v>
      </c>
      <c r="D3" s="3">
        <v>972</v>
      </c>
      <c r="E3" s="3" t="s">
        <v>93</v>
      </c>
      <c r="F3" s="3" t="s">
        <v>94</v>
      </c>
      <c r="G3" s="3" t="s">
        <v>95</v>
      </c>
      <c r="H3" s="3" t="s">
        <v>96</v>
      </c>
      <c r="I3" s="3" t="s">
        <v>97</v>
      </c>
    </row>
    <row r="4" spans="1:9" ht="16.899999999999999" thickBot="1">
      <c r="A4" s="3" t="s">
        <v>98</v>
      </c>
      <c r="B4" s="3">
        <v>1342</v>
      </c>
      <c r="C4" s="3">
        <v>141</v>
      </c>
      <c r="D4" s="3">
        <v>789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</row>
    <row r="5" spans="1:9" ht="16.899999999999999" thickBot="1">
      <c r="A5" s="3" t="s">
        <v>104</v>
      </c>
      <c r="B5" s="3">
        <v>1589</v>
      </c>
      <c r="C5" s="3">
        <v>151</v>
      </c>
      <c r="D5" s="3">
        <v>846</v>
      </c>
      <c r="E5" s="3" t="s">
        <v>105</v>
      </c>
      <c r="F5" s="3" t="s">
        <v>106</v>
      </c>
      <c r="G5" s="3" t="s">
        <v>107</v>
      </c>
      <c r="H5" s="3" t="s">
        <v>108</v>
      </c>
      <c r="I5" s="3" t="s">
        <v>109</v>
      </c>
    </row>
    <row r="6" spans="1:9" ht="16.899999999999999" thickBot="1">
      <c r="A6" s="3" t="s">
        <v>110</v>
      </c>
      <c r="B6" s="3">
        <v>3815</v>
      </c>
      <c r="C6" s="3">
        <v>248</v>
      </c>
      <c r="D6" s="3">
        <v>1392</v>
      </c>
      <c r="E6" s="3" t="s">
        <v>111</v>
      </c>
      <c r="F6" s="3" t="s">
        <v>111</v>
      </c>
      <c r="G6" s="3" t="s">
        <v>23</v>
      </c>
      <c r="H6" s="3" t="s">
        <v>112</v>
      </c>
      <c r="I6" s="3" t="s">
        <v>113</v>
      </c>
    </row>
    <row r="7" spans="1:9" ht="16.899999999999999" thickBot="1">
      <c r="A7" s="3" t="s">
        <v>114</v>
      </c>
      <c r="B7" s="3">
        <v>1313</v>
      </c>
      <c r="C7" s="3">
        <v>107</v>
      </c>
      <c r="D7" s="3">
        <v>600</v>
      </c>
      <c r="E7" s="3" t="s">
        <v>115</v>
      </c>
      <c r="F7" s="3" t="s">
        <v>116</v>
      </c>
      <c r="G7" s="3" t="s">
        <v>117</v>
      </c>
      <c r="H7" s="3" t="s">
        <v>118</v>
      </c>
      <c r="I7" s="3" t="s">
        <v>119</v>
      </c>
    </row>
    <row r="8" spans="1:9" ht="16.899999999999999" thickBot="1">
      <c r="A8" s="3" t="s">
        <v>120</v>
      </c>
      <c r="B8" s="3">
        <v>7048</v>
      </c>
      <c r="C8" s="3">
        <v>142</v>
      </c>
      <c r="D8" s="3">
        <v>804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121</v>
      </c>
    </row>
    <row r="9" spans="1:9" ht="16.899999999999999" thickBot="1">
      <c r="A9" s="3" t="s">
        <v>122</v>
      </c>
      <c r="B9" s="3">
        <v>2797</v>
      </c>
      <c r="C9" s="3">
        <v>147</v>
      </c>
      <c r="D9" s="3">
        <v>825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123</v>
      </c>
    </row>
    <row r="10" spans="1:9" ht="16.899999999999999" thickBot="1">
      <c r="A10" s="3" t="s">
        <v>124</v>
      </c>
      <c r="B10" s="3">
        <v>2346</v>
      </c>
      <c r="C10" s="3">
        <v>148</v>
      </c>
      <c r="D10" s="3">
        <v>831</v>
      </c>
      <c r="E10" s="3" t="s">
        <v>125</v>
      </c>
      <c r="F10" s="3" t="s">
        <v>23</v>
      </c>
      <c r="G10" s="3" t="s">
        <v>125</v>
      </c>
      <c r="H10" s="3" t="s">
        <v>23</v>
      </c>
      <c r="I10" s="3" t="s">
        <v>126</v>
      </c>
    </row>
    <row r="11" spans="1:9" ht="16.899999999999999" thickBot="1">
      <c r="A11" s="3" t="s">
        <v>9</v>
      </c>
      <c r="B11" s="3">
        <v>1872</v>
      </c>
      <c r="C11" s="3">
        <v>136</v>
      </c>
      <c r="D11" s="3">
        <v>762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</row>
    <row r="12" spans="1:9" ht="16.899999999999999" thickBot="1">
      <c r="A12" s="4" t="s">
        <v>132</v>
      </c>
      <c r="B12" s="4">
        <v>1623</v>
      </c>
      <c r="C12" s="4">
        <v>149</v>
      </c>
      <c r="D12" s="4">
        <v>834</v>
      </c>
      <c r="E12" s="4" t="s">
        <v>133</v>
      </c>
      <c r="F12" s="4" t="s">
        <v>134</v>
      </c>
      <c r="G12" s="4" t="s">
        <v>135</v>
      </c>
      <c r="H12" s="4" t="s">
        <v>136</v>
      </c>
      <c r="I12" s="4" t="s">
        <v>137</v>
      </c>
    </row>
    <row r="13" spans="1:9" ht="16.899999999999999" thickBot="1">
      <c r="A13" s="3" t="s">
        <v>138</v>
      </c>
      <c r="B13" s="3">
        <v>3912</v>
      </c>
      <c r="C13" s="3">
        <v>147</v>
      </c>
      <c r="D13" s="3">
        <v>828</v>
      </c>
      <c r="E13" s="3" t="s">
        <v>139</v>
      </c>
      <c r="F13" s="3" t="s">
        <v>23</v>
      </c>
      <c r="G13" s="3" t="s">
        <v>139</v>
      </c>
      <c r="H13" s="3" t="s">
        <v>23</v>
      </c>
      <c r="I13" s="3" t="s">
        <v>140</v>
      </c>
    </row>
    <row r="14" spans="1:9" ht="16.899999999999999" thickBot="1">
      <c r="A14" s="4" t="s">
        <v>141</v>
      </c>
      <c r="B14" s="4">
        <v>5621</v>
      </c>
      <c r="C14" s="4">
        <v>147</v>
      </c>
      <c r="D14" s="4">
        <v>831</v>
      </c>
      <c r="E14" s="4" t="s">
        <v>23</v>
      </c>
      <c r="F14" s="4" t="s">
        <v>23</v>
      </c>
      <c r="G14" s="4" t="s">
        <v>23</v>
      </c>
      <c r="H14" s="4" t="s">
        <v>23</v>
      </c>
      <c r="I14" s="4" t="s">
        <v>142</v>
      </c>
    </row>
    <row r="15" spans="1:9" ht="16.899999999999999" thickBot="1">
      <c r="A15" s="3" t="s">
        <v>72</v>
      </c>
      <c r="B15" s="3">
        <v>4783</v>
      </c>
      <c r="C15" s="3">
        <v>142</v>
      </c>
      <c r="D15" s="3">
        <v>801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143</v>
      </c>
    </row>
    <row r="16" spans="1:9" ht="16.899999999999999" thickBot="1">
      <c r="A16" s="3" t="s">
        <v>144</v>
      </c>
      <c r="B16" s="3">
        <v>1504</v>
      </c>
      <c r="C16" s="3">
        <v>151</v>
      </c>
      <c r="D16" s="3">
        <v>843</v>
      </c>
      <c r="E16" s="3" t="s">
        <v>145</v>
      </c>
      <c r="F16" s="3" t="s">
        <v>145</v>
      </c>
      <c r="G16" s="3" t="s">
        <v>23</v>
      </c>
      <c r="H16" s="3" t="s">
        <v>146</v>
      </c>
      <c r="I16" s="3" t="s">
        <v>147</v>
      </c>
    </row>
    <row r="17" spans="1:9" ht="16.899999999999999" thickBot="1">
      <c r="A17" s="3" t="s">
        <v>148</v>
      </c>
      <c r="B17" s="3">
        <v>2097</v>
      </c>
      <c r="C17" s="3">
        <v>143</v>
      </c>
      <c r="D17" s="3">
        <v>801</v>
      </c>
      <c r="E17" s="3" t="s">
        <v>149</v>
      </c>
      <c r="F17" s="3" t="s">
        <v>150</v>
      </c>
      <c r="G17" s="3" t="s">
        <v>151</v>
      </c>
      <c r="H17" s="3" t="s">
        <v>152</v>
      </c>
      <c r="I17" s="3" t="s">
        <v>153</v>
      </c>
    </row>
    <row r="18" spans="1:9" ht="16.899999999999999" thickBot="1">
      <c r="A18" s="3" t="s">
        <v>154</v>
      </c>
      <c r="B18" s="3">
        <v>4650</v>
      </c>
      <c r="C18" s="3">
        <v>142</v>
      </c>
      <c r="D18" s="3">
        <v>801</v>
      </c>
      <c r="E18" s="3" t="s">
        <v>155</v>
      </c>
      <c r="F18" s="3" t="s">
        <v>156</v>
      </c>
      <c r="G18" s="3" t="s">
        <v>157</v>
      </c>
      <c r="H18" s="3" t="s">
        <v>158</v>
      </c>
      <c r="I18" s="3" t="s">
        <v>159</v>
      </c>
    </row>
    <row r="19" spans="1:9" ht="16.899999999999999" thickBot="1">
      <c r="A19" s="3" t="s">
        <v>160</v>
      </c>
      <c r="B19" s="3">
        <v>1435</v>
      </c>
      <c r="C19" s="3">
        <v>144</v>
      </c>
      <c r="D19" s="3">
        <v>804</v>
      </c>
      <c r="E19" s="3" t="s">
        <v>161</v>
      </c>
      <c r="F19" s="3" t="s">
        <v>162</v>
      </c>
      <c r="G19" s="3" t="s">
        <v>88</v>
      </c>
      <c r="H19" s="3" t="s">
        <v>163</v>
      </c>
      <c r="I19" s="3" t="s">
        <v>164</v>
      </c>
    </row>
    <row r="20" spans="1:9" ht="16.899999999999999" thickBot="1">
      <c r="A20" s="3" t="s">
        <v>165</v>
      </c>
      <c r="B20" s="3">
        <v>3021</v>
      </c>
      <c r="C20" s="3">
        <v>147</v>
      </c>
      <c r="D20" s="3">
        <v>825</v>
      </c>
      <c r="E20" s="3" t="s">
        <v>125</v>
      </c>
      <c r="F20" s="3" t="s">
        <v>23</v>
      </c>
      <c r="G20" s="3" t="s">
        <v>125</v>
      </c>
      <c r="H20" s="3" t="s">
        <v>23</v>
      </c>
      <c r="I20" s="3" t="s">
        <v>166</v>
      </c>
    </row>
    <row r="21" spans="1:9" ht="16.899999999999999" thickBot="1">
      <c r="A21" s="3" t="s">
        <v>167</v>
      </c>
      <c r="B21" s="3">
        <v>1240</v>
      </c>
      <c r="C21" s="3">
        <v>148</v>
      </c>
      <c r="D21" s="3">
        <v>825</v>
      </c>
      <c r="E21" s="3" t="s">
        <v>168</v>
      </c>
      <c r="F21" s="3" t="s">
        <v>169</v>
      </c>
      <c r="G21" s="3" t="s">
        <v>170</v>
      </c>
      <c r="H21" s="3" t="s">
        <v>171</v>
      </c>
      <c r="I21" s="3" t="s">
        <v>172</v>
      </c>
    </row>
    <row r="22" spans="1:9" ht="16.899999999999999" thickBot="1">
      <c r="A22" s="3" t="s">
        <v>173</v>
      </c>
      <c r="B22" s="3">
        <v>4539</v>
      </c>
      <c r="C22" s="3">
        <v>160</v>
      </c>
      <c r="D22" s="3">
        <v>900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174</v>
      </c>
    </row>
    <row r="23" spans="1:9" ht="16.899999999999999" thickBot="1">
      <c r="A23" s="3" t="s">
        <v>175</v>
      </c>
      <c r="B23" s="3">
        <v>850</v>
      </c>
      <c r="C23" s="3">
        <v>164</v>
      </c>
      <c r="D23" s="3">
        <v>915</v>
      </c>
      <c r="E23" s="3" t="s">
        <v>176</v>
      </c>
      <c r="F23" s="3" t="s">
        <v>177</v>
      </c>
      <c r="G23" s="3" t="s">
        <v>178</v>
      </c>
      <c r="H23" s="3" t="s">
        <v>179</v>
      </c>
      <c r="I23" s="3" t="s">
        <v>180</v>
      </c>
    </row>
    <row r="24" spans="1:9" ht="16.899999999999999" thickBot="1">
      <c r="A24" s="3" t="s">
        <v>77</v>
      </c>
      <c r="B24" s="3">
        <v>4068</v>
      </c>
      <c r="C24" s="3">
        <v>172</v>
      </c>
      <c r="D24" s="3">
        <v>966</v>
      </c>
      <c r="E24" s="3" t="s">
        <v>58</v>
      </c>
      <c r="F24" s="3" t="s">
        <v>23</v>
      </c>
      <c r="G24" s="3" t="s">
        <v>58</v>
      </c>
      <c r="H24" s="3" t="s">
        <v>23</v>
      </c>
      <c r="I24" s="3" t="s">
        <v>181</v>
      </c>
    </row>
    <row r="25" spans="1:9" ht="16.899999999999999" thickBot="1">
      <c r="A25" s="4" t="s">
        <v>182</v>
      </c>
      <c r="B25" s="4">
        <v>3338</v>
      </c>
      <c r="C25" s="4">
        <v>178</v>
      </c>
      <c r="D25" s="4">
        <v>996</v>
      </c>
      <c r="E25" s="4" t="s">
        <v>183</v>
      </c>
      <c r="F25" s="4" t="s">
        <v>184</v>
      </c>
      <c r="G25" s="4" t="s">
        <v>78</v>
      </c>
      <c r="H25" s="4" t="s">
        <v>185</v>
      </c>
      <c r="I25" s="4" t="s">
        <v>186</v>
      </c>
    </row>
    <row r="26" spans="1:9" ht="16.899999999999999" thickBot="1">
      <c r="A26" s="3" t="s">
        <v>187</v>
      </c>
      <c r="B26" s="3">
        <v>2141</v>
      </c>
      <c r="C26" s="3">
        <v>148</v>
      </c>
      <c r="D26" s="3">
        <v>828</v>
      </c>
      <c r="E26" s="3" t="s">
        <v>188</v>
      </c>
      <c r="F26" s="3" t="s">
        <v>189</v>
      </c>
      <c r="G26" s="3" t="s">
        <v>190</v>
      </c>
      <c r="H26" s="3" t="s">
        <v>191</v>
      </c>
      <c r="I26" s="3" t="s">
        <v>192</v>
      </c>
    </row>
    <row r="27" spans="1:9" ht="16.899999999999999" thickBot="1">
      <c r="A27" s="4" t="s">
        <v>193</v>
      </c>
      <c r="B27" s="4">
        <v>6841</v>
      </c>
      <c r="C27" s="4">
        <v>146</v>
      </c>
      <c r="D27" s="4">
        <v>825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194</v>
      </c>
    </row>
    <row r="28" spans="1:9" ht="16.899999999999999" thickBot="1">
      <c r="A28" s="3" t="s">
        <v>195</v>
      </c>
      <c r="B28" s="3">
        <v>2011</v>
      </c>
      <c r="C28" s="3">
        <v>143</v>
      </c>
      <c r="D28" s="3">
        <v>801</v>
      </c>
      <c r="E28" s="3" t="s">
        <v>196</v>
      </c>
      <c r="F28" s="3" t="s">
        <v>196</v>
      </c>
      <c r="G28" s="3" t="s">
        <v>23</v>
      </c>
      <c r="H28" s="3" t="s">
        <v>197</v>
      </c>
      <c r="I28" s="3" t="s">
        <v>198</v>
      </c>
    </row>
    <row r="29" spans="1:9" ht="16.899999999999999" thickBot="1">
      <c r="A29" s="3" t="s">
        <v>15</v>
      </c>
      <c r="B29" s="3">
        <v>7282</v>
      </c>
      <c r="C29" s="3">
        <v>59</v>
      </c>
      <c r="D29" s="3">
        <v>333</v>
      </c>
      <c r="E29" s="3" t="s">
        <v>199</v>
      </c>
      <c r="F29" s="3" t="s">
        <v>23</v>
      </c>
      <c r="G29" s="3" t="s">
        <v>199</v>
      </c>
      <c r="H29" s="3" t="s">
        <v>23</v>
      </c>
      <c r="I29" s="3" t="s">
        <v>200</v>
      </c>
    </row>
    <row r="30" spans="1:9" ht="16.899999999999999" thickBot="1">
      <c r="A30" s="3" t="s">
        <v>201</v>
      </c>
      <c r="B30" s="3">
        <v>4600</v>
      </c>
      <c r="C30" s="3">
        <v>168</v>
      </c>
      <c r="D30" s="3">
        <v>945</v>
      </c>
      <c r="E30" s="3" t="s">
        <v>202</v>
      </c>
      <c r="F30" s="3" t="s">
        <v>203</v>
      </c>
      <c r="G30" s="3" t="s">
        <v>204</v>
      </c>
      <c r="H30" s="3" t="s">
        <v>205</v>
      </c>
      <c r="I30" s="3" t="s">
        <v>206</v>
      </c>
    </row>
    <row r="31" spans="1:9" ht="16.899999999999999" thickBot="1">
      <c r="A31" s="3" t="s">
        <v>207</v>
      </c>
      <c r="B31" s="3">
        <v>2482</v>
      </c>
      <c r="C31" s="3">
        <v>95</v>
      </c>
      <c r="D31" s="3">
        <v>533</v>
      </c>
      <c r="E31" s="3" t="s">
        <v>208</v>
      </c>
      <c r="F31" s="3" t="s">
        <v>209</v>
      </c>
      <c r="G31" s="3" t="s">
        <v>210</v>
      </c>
      <c r="H31" s="3" t="s">
        <v>211</v>
      </c>
      <c r="I31" s="3" t="s">
        <v>212</v>
      </c>
    </row>
    <row r="32" spans="1:9" ht="16.899999999999999" thickBot="1">
      <c r="A32" s="3" t="s">
        <v>213</v>
      </c>
      <c r="B32" s="3">
        <v>7070</v>
      </c>
      <c r="C32" s="3">
        <v>217</v>
      </c>
      <c r="D32" s="3">
        <v>1227</v>
      </c>
      <c r="E32" s="3" t="s">
        <v>214</v>
      </c>
      <c r="F32" s="3" t="s">
        <v>23</v>
      </c>
      <c r="G32" s="3" t="s">
        <v>214</v>
      </c>
      <c r="H32" s="3" t="s">
        <v>23</v>
      </c>
      <c r="I32" s="3" t="s">
        <v>159</v>
      </c>
    </row>
    <row r="33" spans="1:9" ht="16.899999999999999" thickBot="1">
      <c r="A33" s="3" t="s">
        <v>215</v>
      </c>
      <c r="B33" s="3">
        <v>1209</v>
      </c>
      <c r="C33" s="3">
        <v>132</v>
      </c>
      <c r="D33" s="3">
        <v>738</v>
      </c>
      <c r="E33" s="3" t="s">
        <v>216</v>
      </c>
      <c r="F33" s="3" t="s">
        <v>217</v>
      </c>
      <c r="G33" s="3" t="s">
        <v>125</v>
      </c>
      <c r="H33" s="3" t="s">
        <v>218</v>
      </c>
      <c r="I33" s="3" t="s">
        <v>219</v>
      </c>
    </row>
    <row r="34" spans="1:9" ht="16.899999999999999" thickBot="1">
      <c r="A34" s="3" t="s">
        <v>21</v>
      </c>
      <c r="B34" s="3">
        <v>8282</v>
      </c>
      <c r="C34" s="3">
        <v>141</v>
      </c>
      <c r="D34" s="3">
        <v>801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220</v>
      </c>
    </row>
    <row r="35" spans="1:9" ht="16.899999999999999" thickBot="1">
      <c r="A35" s="3" t="s">
        <v>221</v>
      </c>
      <c r="B35" s="3">
        <v>2687</v>
      </c>
      <c r="C35" s="3">
        <v>218</v>
      </c>
      <c r="D35" s="3">
        <v>1218</v>
      </c>
      <c r="E35" s="3" t="s">
        <v>222</v>
      </c>
      <c r="F35" s="3" t="s">
        <v>223</v>
      </c>
      <c r="G35" s="3" t="s">
        <v>224</v>
      </c>
      <c r="H35" s="3" t="s">
        <v>225</v>
      </c>
      <c r="I35" s="3" t="s">
        <v>226</v>
      </c>
    </row>
    <row r="36" spans="1:9" ht="16.899999999999999" thickBot="1">
      <c r="A36" s="3" t="s">
        <v>227</v>
      </c>
      <c r="B36" s="3">
        <v>2383</v>
      </c>
      <c r="C36" s="3">
        <v>220</v>
      </c>
      <c r="D36" s="3">
        <v>1230</v>
      </c>
      <c r="E36" s="3" t="s">
        <v>228</v>
      </c>
      <c r="F36" s="3" t="s">
        <v>229</v>
      </c>
      <c r="G36" s="3" t="s">
        <v>230</v>
      </c>
      <c r="H36" s="3" t="s">
        <v>231</v>
      </c>
      <c r="I36" s="3" t="s">
        <v>232</v>
      </c>
    </row>
    <row r="37" spans="1:9" ht="16.899999999999999" thickBot="1">
      <c r="A37" s="3" t="s">
        <v>233</v>
      </c>
      <c r="B37" s="3">
        <v>2602</v>
      </c>
      <c r="C37" s="3">
        <v>262</v>
      </c>
      <c r="D37" s="3">
        <v>1464</v>
      </c>
      <c r="E37" s="3" t="s">
        <v>234</v>
      </c>
      <c r="F37" s="3" t="s">
        <v>235</v>
      </c>
      <c r="G37" s="3" t="s">
        <v>236</v>
      </c>
      <c r="H37" s="3" t="s">
        <v>237</v>
      </c>
      <c r="I37" s="3" t="s">
        <v>238</v>
      </c>
    </row>
    <row r="38" spans="1:9" ht="16.899999999999999" thickBot="1">
      <c r="A38" s="4" t="s">
        <v>26</v>
      </c>
      <c r="B38" s="4">
        <v>151050</v>
      </c>
      <c r="C38" s="4">
        <v>188</v>
      </c>
      <c r="D38" s="4">
        <v>1476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239</v>
      </c>
    </row>
    <row r="39" spans="1:9" ht="16.899999999999999" thickBot="1">
      <c r="A39" s="3" t="s">
        <v>240</v>
      </c>
      <c r="B39" s="3">
        <v>4130</v>
      </c>
      <c r="C39" s="3">
        <v>161</v>
      </c>
      <c r="D39" s="3">
        <v>906</v>
      </c>
      <c r="E39" s="3" t="s">
        <v>241</v>
      </c>
      <c r="F39" s="3" t="s">
        <v>241</v>
      </c>
      <c r="G39" s="3" t="s">
        <v>23</v>
      </c>
      <c r="H39" s="3" t="s">
        <v>242</v>
      </c>
      <c r="I39" s="3" t="s">
        <v>243</v>
      </c>
    </row>
    <row r="40" spans="1:9" ht="16.899999999999999" thickBot="1">
      <c r="A40" s="4" t="s">
        <v>28</v>
      </c>
      <c r="B40" s="4">
        <v>72604</v>
      </c>
      <c r="C40" s="4">
        <v>137</v>
      </c>
      <c r="D40" s="4">
        <v>885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244</v>
      </c>
    </row>
    <row r="41" spans="1:9" ht="16.899999999999999" thickBot="1">
      <c r="A41" s="3" t="s">
        <v>30</v>
      </c>
      <c r="B41" s="3">
        <v>8067</v>
      </c>
      <c r="C41" s="3">
        <v>216</v>
      </c>
      <c r="D41" s="3">
        <v>1224</v>
      </c>
      <c r="E41" s="3" t="s">
        <v>245</v>
      </c>
      <c r="F41" s="3" t="s">
        <v>23</v>
      </c>
      <c r="G41" s="3" t="s">
        <v>245</v>
      </c>
      <c r="H41" s="3" t="s">
        <v>23</v>
      </c>
      <c r="I41" s="3" t="s">
        <v>246</v>
      </c>
    </row>
    <row r="42" spans="1:9" ht="16.899999999999999" thickBot="1">
      <c r="A42" s="3" t="s">
        <v>36</v>
      </c>
      <c r="B42" s="3">
        <v>6823</v>
      </c>
      <c r="C42" s="3">
        <v>157</v>
      </c>
      <c r="D42" s="3">
        <v>885</v>
      </c>
      <c r="E42" s="3" t="s">
        <v>247</v>
      </c>
      <c r="F42" s="3" t="s">
        <v>23</v>
      </c>
      <c r="G42" s="3" t="s">
        <v>247</v>
      </c>
      <c r="H42" s="3" t="s">
        <v>23</v>
      </c>
      <c r="I42" s="3" t="s">
        <v>248</v>
      </c>
    </row>
    <row r="43" spans="1:9" ht="16.899999999999999" thickBot="1">
      <c r="A43" s="3" t="s">
        <v>249</v>
      </c>
      <c r="B43" s="3">
        <v>1155</v>
      </c>
      <c r="C43" s="3">
        <v>113</v>
      </c>
      <c r="D43" s="3">
        <v>633</v>
      </c>
      <c r="E43" s="3" t="s">
        <v>250</v>
      </c>
      <c r="F43" s="3" t="s">
        <v>251</v>
      </c>
      <c r="G43" s="3" t="s">
        <v>252</v>
      </c>
      <c r="H43" s="3" t="s">
        <v>253</v>
      </c>
      <c r="I43" s="3" t="s">
        <v>254</v>
      </c>
    </row>
    <row r="44" spans="1:9" ht="16.899999999999999" thickBot="1">
      <c r="A44" s="3" t="s">
        <v>255</v>
      </c>
      <c r="B44" s="3">
        <v>1449</v>
      </c>
      <c r="C44" s="3">
        <v>111</v>
      </c>
      <c r="D44" s="3">
        <v>624</v>
      </c>
      <c r="E44" s="3" t="s">
        <v>256</v>
      </c>
      <c r="F44" s="3" t="s">
        <v>257</v>
      </c>
      <c r="G44" s="3" t="s">
        <v>258</v>
      </c>
      <c r="H44" s="3" t="s">
        <v>259</v>
      </c>
      <c r="I44" s="3" t="s">
        <v>260</v>
      </c>
    </row>
    <row r="45" spans="1:9" ht="16.899999999999999" thickBot="1">
      <c r="A45" s="3" t="s">
        <v>261</v>
      </c>
      <c r="B45" s="3">
        <v>2478</v>
      </c>
      <c r="C45" s="3">
        <v>117</v>
      </c>
      <c r="D45" s="3">
        <v>657</v>
      </c>
      <c r="E45" s="3" t="s">
        <v>262</v>
      </c>
      <c r="F45" s="3" t="s">
        <v>262</v>
      </c>
      <c r="G45" s="3" t="s">
        <v>23</v>
      </c>
      <c r="H45" s="3" t="s">
        <v>263</v>
      </c>
      <c r="I45" s="3" t="s">
        <v>264</v>
      </c>
    </row>
    <row r="46" spans="1:9" ht="16.899999999999999" thickBot="1">
      <c r="A46" s="3" t="s">
        <v>265</v>
      </c>
      <c r="B46" s="3">
        <v>3293</v>
      </c>
      <c r="C46" s="3">
        <v>80</v>
      </c>
      <c r="D46" s="3">
        <v>453</v>
      </c>
      <c r="E46" s="3" t="s">
        <v>266</v>
      </c>
      <c r="F46" s="3" t="s">
        <v>266</v>
      </c>
      <c r="G46" s="3" t="s">
        <v>23</v>
      </c>
      <c r="H46" s="3" t="s">
        <v>267</v>
      </c>
      <c r="I46" s="3" t="s">
        <v>268</v>
      </c>
    </row>
    <row r="47" spans="1:9" ht="16.899999999999999" thickBot="1">
      <c r="A47" s="3" t="s">
        <v>269</v>
      </c>
      <c r="B47" s="3">
        <v>1876</v>
      </c>
      <c r="C47" s="3">
        <v>81</v>
      </c>
      <c r="D47" s="3">
        <v>453</v>
      </c>
      <c r="E47" s="3" t="s">
        <v>270</v>
      </c>
      <c r="F47" s="3" t="s">
        <v>271</v>
      </c>
      <c r="G47" s="3" t="s">
        <v>272</v>
      </c>
      <c r="H47" s="3" t="s">
        <v>273</v>
      </c>
      <c r="I47" s="3" t="s">
        <v>20</v>
      </c>
    </row>
    <row r="48" spans="1:9" ht="16.899999999999999" thickBot="1">
      <c r="A48" s="3" t="s">
        <v>274</v>
      </c>
      <c r="B48" s="3">
        <v>9748</v>
      </c>
      <c r="C48" s="3">
        <v>150</v>
      </c>
      <c r="D48" s="3">
        <v>852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275</v>
      </c>
    </row>
    <row r="49" spans="1:9" ht="16.899999999999999" thickBot="1">
      <c r="A49" s="3" t="s">
        <v>276</v>
      </c>
      <c r="B49" s="3">
        <v>5089</v>
      </c>
      <c r="C49" s="3">
        <v>145</v>
      </c>
      <c r="D49" s="3">
        <v>816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277</v>
      </c>
    </row>
    <row r="50" spans="1:9" ht="16.899999999999999" thickBot="1">
      <c r="A50" s="3" t="s">
        <v>278</v>
      </c>
      <c r="B50" s="3">
        <v>25310</v>
      </c>
      <c r="C50" s="3">
        <v>192</v>
      </c>
      <c r="D50" s="3">
        <v>1122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279</v>
      </c>
    </row>
    <row r="51" spans="1:9" ht="16.899999999999999" thickBot="1">
      <c r="A51" s="4" t="s">
        <v>280</v>
      </c>
      <c r="B51" s="4">
        <v>2963</v>
      </c>
      <c r="C51" s="4">
        <v>210</v>
      </c>
      <c r="D51" s="4">
        <v>1176</v>
      </c>
      <c r="E51" s="4" t="s">
        <v>281</v>
      </c>
      <c r="F51" s="4" t="s">
        <v>282</v>
      </c>
      <c r="G51" s="4" t="s">
        <v>283</v>
      </c>
      <c r="H51" s="4" t="s">
        <v>284</v>
      </c>
      <c r="I51" s="4" t="s">
        <v>285</v>
      </c>
    </row>
    <row r="52" spans="1:9" ht="16.899999999999999" thickBot="1">
      <c r="A52" s="3" t="s">
        <v>43</v>
      </c>
      <c r="B52" s="3">
        <v>17701</v>
      </c>
      <c r="C52" s="3">
        <v>335</v>
      </c>
      <c r="D52" s="3">
        <v>1926</v>
      </c>
      <c r="E52" s="3" t="s">
        <v>286</v>
      </c>
      <c r="F52" s="3" t="s">
        <v>23</v>
      </c>
      <c r="G52" s="3" t="s">
        <v>286</v>
      </c>
      <c r="H52" s="3" t="s">
        <v>23</v>
      </c>
      <c r="I52" s="3" t="s">
        <v>287</v>
      </c>
    </row>
    <row r="53" spans="1:9" ht="16.899999999999999" thickBot="1">
      <c r="A53" s="4" t="s">
        <v>288</v>
      </c>
      <c r="B53" s="4">
        <v>2836</v>
      </c>
      <c r="C53" s="4">
        <v>344</v>
      </c>
      <c r="D53" s="4">
        <v>1926</v>
      </c>
      <c r="E53" s="4" t="s">
        <v>289</v>
      </c>
      <c r="F53" s="4" t="s">
        <v>290</v>
      </c>
      <c r="G53" s="4" t="s">
        <v>291</v>
      </c>
      <c r="H53" s="4" t="s">
        <v>292</v>
      </c>
      <c r="I53" s="4" t="s">
        <v>293</v>
      </c>
    </row>
    <row r="54" spans="1:9" ht="16.899999999999999" thickBot="1">
      <c r="A54" s="3" t="s">
        <v>49</v>
      </c>
      <c r="B54" s="3">
        <v>6965</v>
      </c>
      <c r="C54" s="3">
        <v>207</v>
      </c>
      <c r="D54" s="3">
        <v>1167</v>
      </c>
      <c r="E54" s="3" t="s">
        <v>294</v>
      </c>
      <c r="F54" s="3" t="s">
        <v>295</v>
      </c>
      <c r="G54" s="3" t="s">
        <v>296</v>
      </c>
      <c r="H54" s="3" t="s">
        <v>297</v>
      </c>
      <c r="I54" s="3" t="s">
        <v>298</v>
      </c>
    </row>
    <row r="55" spans="1:9" ht="16.899999999999999" thickBot="1">
      <c r="A55" s="3" t="s">
        <v>299</v>
      </c>
      <c r="B55" s="3">
        <v>3284</v>
      </c>
      <c r="C55" s="3">
        <v>337</v>
      </c>
      <c r="D55" s="3">
        <v>1889</v>
      </c>
      <c r="E55" s="3" t="s">
        <v>300</v>
      </c>
      <c r="F55" s="3" t="s">
        <v>301</v>
      </c>
      <c r="G55" s="3" t="s">
        <v>151</v>
      </c>
      <c r="H55" s="3" t="s">
        <v>302</v>
      </c>
      <c r="I55" s="3" t="s">
        <v>303</v>
      </c>
    </row>
    <row r="56" spans="1:9" ht="16.899999999999999" thickBot="1">
      <c r="A56" s="3" t="s">
        <v>304</v>
      </c>
      <c r="B56" s="3">
        <v>938</v>
      </c>
      <c r="C56" s="3">
        <v>85</v>
      </c>
      <c r="D56" s="3">
        <v>474</v>
      </c>
      <c r="E56" s="3" t="s">
        <v>305</v>
      </c>
      <c r="F56" s="3" t="s">
        <v>306</v>
      </c>
      <c r="G56" s="3" t="s">
        <v>307</v>
      </c>
      <c r="H56" s="3" t="s">
        <v>308</v>
      </c>
      <c r="I56" s="3" t="s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E3D2-244F-4F21-8776-850E8C32BF8F}">
  <dimension ref="A1:I13"/>
  <sheetViews>
    <sheetView workbookViewId="0">
      <selection activeCell="A2" sqref="A2:A13"/>
    </sheetView>
  </sheetViews>
  <sheetFormatPr defaultColWidth="32.28515625" defaultRowHeight="14.45"/>
  <cols>
    <col min="1" max="1" width="31.5703125" bestFit="1" customWidth="1"/>
    <col min="2" max="2" width="10.5703125" bestFit="1" customWidth="1"/>
    <col min="3" max="3" width="14.28515625" bestFit="1" customWidth="1"/>
    <col min="4" max="4" width="16.42578125" customWidth="1"/>
    <col min="5" max="5" width="18.42578125" bestFit="1" customWidth="1"/>
    <col min="6" max="6" width="29" bestFit="1" customWidth="1"/>
    <col min="7" max="7" width="13.85546875" bestFit="1" customWidth="1"/>
    <col min="8" max="8" width="24.42578125" bestFit="1" customWidth="1"/>
    <col min="9" max="9" width="9.7109375" bestFit="1" customWidth="1"/>
  </cols>
  <sheetData>
    <row r="1" spans="1:9" ht="33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55</v>
      </c>
      <c r="B2" s="3">
        <v>5369</v>
      </c>
      <c r="C2" s="3">
        <v>52</v>
      </c>
      <c r="D2" s="3">
        <v>972</v>
      </c>
      <c r="E2" s="3" t="s">
        <v>310</v>
      </c>
      <c r="F2" s="3" t="s">
        <v>311</v>
      </c>
      <c r="G2" s="3" t="s">
        <v>75</v>
      </c>
      <c r="H2" s="3" t="s">
        <v>312</v>
      </c>
      <c r="I2" s="3" t="s">
        <v>313</v>
      </c>
    </row>
    <row r="3" spans="1:9" ht="16.899999999999999" thickBot="1">
      <c r="A3" s="3" t="s">
        <v>9</v>
      </c>
      <c r="B3" s="3">
        <v>5159</v>
      </c>
      <c r="C3" s="3">
        <v>40</v>
      </c>
      <c r="D3" s="3">
        <v>762</v>
      </c>
      <c r="E3" s="3" t="s">
        <v>314</v>
      </c>
      <c r="F3" s="3" t="s">
        <v>315</v>
      </c>
      <c r="G3" s="3" t="s">
        <v>316</v>
      </c>
      <c r="H3" s="3" t="s">
        <v>317</v>
      </c>
      <c r="I3" s="3" t="s">
        <v>318</v>
      </c>
    </row>
    <row r="4" spans="1:9" ht="16.899999999999999" thickBot="1">
      <c r="A4" s="3" t="s">
        <v>72</v>
      </c>
      <c r="B4" s="3">
        <v>5762</v>
      </c>
      <c r="C4" s="3">
        <v>42</v>
      </c>
      <c r="D4" s="3">
        <v>801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319</v>
      </c>
    </row>
    <row r="5" spans="1:9" ht="16.899999999999999" thickBot="1">
      <c r="A5" s="3" t="s">
        <v>320</v>
      </c>
      <c r="B5" s="3">
        <v>3730</v>
      </c>
      <c r="C5" s="3">
        <v>52</v>
      </c>
      <c r="D5" s="3">
        <v>966</v>
      </c>
      <c r="E5" s="3" t="s">
        <v>321</v>
      </c>
      <c r="F5" s="3" t="s">
        <v>321</v>
      </c>
      <c r="G5" s="3" t="s">
        <v>23</v>
      </c>
      <c r="H5" s="3" t="s">
        <v>322</v>
      </c>
      <c r="I5" s="3" t="s">
        <v>323</v>
      </c>
    </row>
    <row r="6" spans="1:9" ht="16.899999999999999" thickBot="1">
      <c r="A6" s="3" t="s">
        <v>15</v>
      </c>
      <c r="B6" s="3">
        <v>1912</v>
      </c>
      <c r="C6" s="3">
        <v>18</v>
      </c>
      <c r="D6" s="3">
        <v>333</v>
      </c>
      <c r="E6" s="3" t="s">
        <v>324</v>
      </c>
      <c r="F6" s="3" t="s">
        <v>325</v>
      </c>
      <c r="G6" s="3" t="s">
        <v>326</v>
      </c>
      <c r="H6" s="3" t="s">
        <v>327</v>
      </c>
      <c r="I6" s="3" t="s">
        <v>328</v>
      </c>
    </row>
    <row r="7" spans="1:9" ht="16.899999999999999" thickBot="1">
      <c r="A7" s="3" t="s">
        <v>21</v>
      </c>
      <c r="B7" s="3">
        <v>3720</v>
      </c>
      <c r="C7" s="3">
        <v>43</v>
      </c>
      <c r="D7" s="3">
        <v>801</v>
      </c>
      <c r="E7" s="3" t="s">
        <v>329</v>
      </c>
      <c r="F7" s="3" t="s">
        <v>329</v>
      </c>
      <c r="G7" s="3" t="s">
        <v>23</v>
      </c>
      <c r="H7" s="3" t="s">
        <v>330</v>
      </c>
      <c r="I7" s="3" t="s">
        <v>35</v>
      </c>
    </row>
    <row r="8" spans="1:9" ht="16.899999999999999" thickBot="1">
      <c r="A8" s="3" t="s">
        <v>26</v>
      </c>
      <c r="B8" s="3">
        <v>20221</v>
      </c>
      <c r="C8" s="3">
        <v>71</v>
      </c>
      <c r="D8" s="3">
        <v>1476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331</v>
      </c>
    </row>
    <row r="9" spans="1:9" ht="16.899999999999999" thickBot="1">
      <c r="A9" s="3" t="s">
        <v>28</v>
      </c>
      <c r="B9" s="3">
        <v>9399</v>
      </c>
      <c r="C9" s="3">
        <v>46</v>
      </c>
      <c r="D9" s="3">
        <v>885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332</v>
      </c>
    </row>
    <row r="10" spans="1:9" ht="16.899999999999999" thickBot="1">
      <c r="A10" s="3" t="s">
        <v>30</v>
      </c>
      <c r="B10" s="3">
        <v>5198</v>
      </c>
      <c r="C10" s="3">
        <v>65</v>
      </c>
      <c r="D10" s="3">
        <v>1224</v>
      </c>
      <c r="E10" s="3" t="s">
        <v>333</v>
      </c>
      <c r="F10" s="3" t="s">
        <v>334</v>
      </c>
      <c r="G10" s="3" t="s">
        <v>335</v>
      </c>
      <c r="H10" s="3" t="s">
        <v>336</v>
      </c>
      <c r="I10" s="3" t="s">
        <v>337</v>
      </c>
    </row>
    <row r="11" spans="1:9" ht="16.899999999999999" thickBot="1">
      <c r="A11" s="3" t="s">
        <v>36</v>
      </c>
      <c r="B11" s="3">
        <v>2613</v>
      </c>
      <c r="C11" s="3">
        <v>48</v>
      </c>
      <c r="D11" s="3">
        <v>885</v>
      </c>
      <c r="E11" s="3" t="s">
        <v>338</v>
      </c>
      <c r="F11" s="3" t="s">
        <v>23</v>
      </c>
      <c r="G11" s="3" t="s">
        <v>338</v>
      </c>
      <c r="H11" s="3" t="s">
        <v>23</v>
      </c>
      <c r="I11" s="3" t="s">
        <v>186</v>
      </c>
    </row>
    <row r="12" spans="1:9" ht="16.899999999999999" thickBot="1">
      <c r="A12" s="4" t="s">
        <v>274</v>
      </c>
      <c r="B12" s="4">
        <v>4734</v>
      </c>
      <c r="C12" s="4">
        <v>45</v>
      </c>
      <c r="D12" s="4">
        <v>852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339</v>
      </c>
    </row>
    <row r="13" spans="1:9" ht="16.899999999999999" thickBot="1">
      <c r="A13" s="3" t="s">
        <v>43</v>
      </c>
      <c r="B13" s="3">
        <v>9659</v>
      </c>
      <c r="C13" s="3">
        <v>100</v>
      </c>
      <c r="D13" s="3">
        <v>1926</v>
      </c>
      <c r="E13" s="3" t="s">
        <v>321</v>
      </c>
      <c r="F13" s="3" t="s">
        <v>23</v>
      </c>
      <c r="G13" s="3" t="s">
        <v>321</v>
      </c>
      <c r="H13" s="3" t="s">
        <v>23</v>
      </c>
      <c r="I13" s="3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C47F-E5A0-4169-9657-467E1E659A64}">
  <dimension ref="A1:I20"/>
  <sheetViews>
    <sheetView workbookViewId="0">
      <selection activeCell="A2" sqref="A2"/>
    </sheetView>
  </sheetViews>
  <sheetFormatPr defaultColWidth="45.28515625" defaultRowHeight="14.45"/>
  <cols>
    <col min="1" max="1" width="37.28515625" bestFit="1" customWidth="1"/>
    <col min="2" max="2" width="10.5703125" bestFit="1" customWidth="1"/>
    <col min="3" max="3" width="14.28515625" bestFit="1" customWidth="1"/>
    <col min="4" max="4" width="20.140625" customWidth="1"/>
    <col min="5" max="5" width="16.140625" customWidth="1"/>
    <col min="6" max="6" width="22.42578125" customWidth="1"/>
    <col min="7" max="7" width="13.85546875" bestFit="1" customWidth="1"/>
    <col min="8" max="8" width="20.7109375" bestFit="1" customWidth="1"/>
    <col min="9" max="9" width="9.28515625" bestFit="1" customWidth="1"/>
  </cols>
  <sheetData>
    <row r="1" spans="1:9" ht="27.6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91</v>
      </c>
      <c r="B2" s="3">
        <v>1450</v>
      </c>
      <c r="C2" s="3">
        <v>28</v>
      </c>
      <c r="D2" s="3">
        <v>837</v>
      </c>
      <c r="E2" s="3" t="s">
        <v>341</v>
      </c>
      <c r="F2" s="3" t="s">
        <v>341</v>
      </c>
      <c r="G2" s="3" t="s">
        <v>23</v>
      </c>
      <c r="H2" s="3" t="s">
        <v>342</v>
      </c>
      <c r="I2" s="3" t="s">
        <v>343</v>
      </c>
    </row>
    <row r="3" spans="1:9" ht="16.899999999999999" thickBot="1">
      <c r="A3" s="3" t="s">
        <v>55</v>
      </c>
      <c r="B3" s="3">
        <v>2510</v>
      </c>
      <c r="C3" s="3">
        <v>32</v>
      </c>
      <c r="D3" s="3">
        <v>972</v>
      </c>
      <c r="E3" s="3" t="s">
        <v>344</v>
      </c>
      <c r="F3" s="3" t="s">
        <v>345</v>
      </c>
      <c r="G3" s="3" t="s">
        <v>64</v>
      </c>
      <c r="H3" s="3" t="s">
        <v>346</v>
      </c>
      <c r="I3" s="3" t="s">
        <v>347</v>
      </c>
    </row>
    <row r="4" spans="1:9" ht="16.899999999999999" thickBot="1">
      <c r="A4" s="3" t="s">
        <v>348</v>
      </c>
      <c r="B4" s="3">
        <v>1089</v>
      </c>
      <c r="C4" s="3">
        <v>27</v>
      </c>
      <c r="D4" s="3">
        <v>798</v>
      </c>
      <c r="E4" s="3" t="s">
        <v>349</v>
      </c>
      <c r="F4" s="3" t="s">
        <v>349</v>
      </c>
      <c r="G4" s="3" t="s">
        <v>23</v>
      </c>
      <c r="H4" s="3" t="s">
        <v>350</v>
      </c>
      <c r="I4" s="3" t="s">
        <v>351</v>
      </c>
    </row>
    <row r="5" spans="1:9" ht="16.899999999999999" thickBot="1">
      <c r="A5" s="3" t="s">
        <v>9</v>
      </c>
      <c r="B5" s="3">
        <v>1084</v>
      </c>
      <c r="C5" s="3">
        <v>25</v>
      </c>
      <c r="D5" s="3">
        <v>762</v>
      </c>
      <c r="E5" s="3" t="s">
        <v>352</v>
      </c>
      <c r="F5" s="3" t="s">
        <v>150</v>
      </c>
      <c r="G5" s="3" t="s">
        <v>353</v>
      </c>
      <c r="H5" s="3" t="s">
        <v>152</v>
      </c>
      <c r="I5" s="3" t="s">
        <v>354</v>
      </c>
    </row>
    <row r="6" spans="1:9" ht="16.899999999999999" thickBot="1">
      <c r="A6" s="3" t="s">
        <v>72</v>
      </c>
      <c r="B6" s="3">
        <v>1507</v>
      </c>
      <c r="C6" s="3">
        <v>27</v>
      </c>
      <c r="D6" s="3">
        <v>801</v>
      </c>
      <c r="E6" s="3" t="s">
        <v>355</v>
      </c>
      <c r="F6" s="3" t="s">
        <v>356</v>
      </c>
      <c r="G6" s="3" t="s">
        <v>125</v>
      </c>
      <c r="H6" s="3" t="s">
        <v>357</v>
      </c>
      <c r="I6" s="3" t="s">
        <v>358</v>
      </c>
    </row>
    <row r="7" spans="1:9" ht="16.899999999999999" thickBot="1">
      <c r="A7" s="3" t="s">
        <v>148</v>
      </c>
      <c r="B7" s="3">
        <v>884</v>
      </c>
      <c r="C7" s="3">
        <v>27</v>
      </c>
      <c r="D7" s="3">
        <v>801</v>
      </c>
      <c r="E7" s="3" t="s">
        <v>359</v>
      </c>
      <c r="F7" s="3" t="s">
        <v>359</v>
      </c>
      <c r="G7" s="3" t="s">
        <v>23</v>
      </c>
      <c r="H7" s="3" t="s">
        <v>360</v>
      </c>
      <c r="I7" s="3" t="s">
        <v>361</v>
      </c>
    </row>
    <row r="8" spans="1:9" ht="16.899999999999999" thickBot="1">
      <c r="A8" s="3" t="s">
        <v>320</v>
      </c>
      <c r="B8" s="3">
        <v>3384</v>
      </c>
      <c r="C8" s="3">
        <v>32</v>
      </c>
      <c r="D8" s="3">
        <v>966</v>
      </c>
      <c r="E8" s="3" t="s">
        <v>362</v>
      </c>
      <c r="F8" s="3" t="s">
        <v>363</v>
      </c>
      <c r="G8" s="3" t="s">
        <v>291</v>
      </c>
      <c r="H8" s="3" t="s">
        <v>364</v>
      </c>
      <c r="I8" s="3" t="s">
        <v>365</v>
      </c>
    </row>
    <row r="9" spans="1:9" ht="16.899999999999999" thickBot="1">
      <c r="A9" s="3" t="s">
        <v>15</v>
      </c>
      <c r="B9" s="3">
        <v>1837</v>
      </c>
      <c r="C9" s="3">
        <v>11</v>
      </c>
      <c r="D9" s="3">
        <v>333</v>
      </c>
      <c r="E9" s="3" t="s">
        <v>366</v>
      </c>
      <c r="F9" s="3" t="s">
        <v>23</v>
      </c>
      <c r="G9" s="3" t="s">
        <v>366</v>
      </c>
      <c r="H9" s="3" t="s">
        <v>23</v>
      </c>
      <c r="I9" s="3" t="s">
        <v>159</v>
      </c>
    </row>
    <row r="10" spans="1:9" ht="16.899999999999999" thickBot="1">
      <c r="A10" s="3" t="s">
        <v>367</v>
      </c>
      <c r="B10" s="3">
        <v>1018</v>
      </c>
      <c r="C10" s="3">
        <v>25</v>
      </c>
      <c r="D10" s="3">
        <v>738</v>
      </c>
      <c r="E10" s="3" t="s">
        <v>368</v>
      </c>
      <c r="F10" s="3" t="s">
        <v>368</v>
      </c>
      <c r="G10" s="3" t="s">
        <v>23</v>
      </c>
      <c r="H10" s="3" t="s">
        <v>369</v>
      </c>
      <c r="I10" s="3" t="s">
        <v>370</v>
      </c>
    </row>
    <row r="11" spans="1:9" ht="16.899999999999999" thickBot="1">
      <c r="A11" s="3" t="s">
        <v>21</v>
      </c>
      <c r="B11" s="3">
        <v>2969</v>
      </c>
      <c r="C11" s="3">
        <v>26</v>
      </c>
      <c r="D11" s="3">
        <v>801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371</v>
      </c>
    </row>
    <row r="12" spans="1:9" ht="16.899999999999999" thickBot="1">
      <c r="A12" s="4" t="s">
        <v>26</v>
      </c>
      <c r="B12" s="4">
        <v>12304</v>
      </c>
      <c r="C12" s="4">
        <v>44</v>
      </c>
      <c r="D12" s="4">
        <v>1476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372</v>
      </c>
    </row>
    <row r="13" spans="1:9" ht="16.899999999999999" thickBot="1">
      <c r="A13" s="3" t="s">
        <v>240</v>
      </c>
      <c r="B13" s="3">
        <v>1770</v>
      </c>
      <c r="C13" s="3">
        <v>30</v>
      </c>
      <c r="D13" s="3">
        <v>906</v>
      </c>
      <c r="E13" s="3" t="s">
        <v>373</v>
      </c>
      <c r="F13" s="3" t="s">
        <v>373</v>
      </c>
      <c r="G13" s="3" t="s">
        <v>23</v>
      </c>
      <c r="H13" s="3" t="s">
        <v>374</v>
      </c>
      <c r="I13" s="3" t="s">
        <v>375</v>
      </c>
    </row>
    <row r="14" spans="1:9" ht="16.899999999999999" thickBot="1">
      <c r="A14" s="4" t="s">
        <v>28</v>
      </c>
      <c r="B14" s="4">
        <v>6999</v>
      </c>
      <c r="C14" s="4">
        <v>28</v>
      </c>
      <c r="D14" s="4">
        <v>885</v>
      </c>
      <c r="E14" s="4" t="s">
        <v>23</v>
      </c>
      <c r="F14" s="4" t="s">
        <v>23</v>
      </c>
      <c r="G14" s="4" t="s">
        <v>23</v>
      </c>
      <c r="H14" s="4" t="s">
        <v>23</v>
      </c>
      <c r="I14" s="4" t="s">
        <v>376</v>
      </c>
    </row>
    <row r="15" spans="1:9" ht="16.899999999999999" thickBot="1">
      <c r="A15" s="3" t="s">
        <v>30</v>
      </c>
      <c r="B15" s="3">
        <v>2835</v>
      </c>
      <c r="C15" s="3">
        <v>40</v>
      </c>
      <c r="D15" s="3">
        <v>1224</v>
      </c>
      <c r="E15" s="3" t="s">
        <v>377</v>
      </c>
      <c r="F15" s="3" t="s">
        <v>378</v>
      </c>
      <c r="G15" s="3" t="s">
        <v>379</v>
      </c>
      <c r="H15" s="3" t="s">
        <v>380</v>
      </c>
      <c r="I15" s="3" t="s">
        <v>381</v>
      </c>
    </row>
    <row r="16" spans="1:9" ht="16.899999999999999" thickBot="1">
      <c r="A16" s="3" t="s">
        <v>36</v>
      </c>
      <c r="B16" s="3">
        <v>2409</v>
      </c>
      <c r="C16" s="3">
        <v>29</v>
      </c>
      <c r="D16" s="3">
        <v>885</v>
      </c>
      <c r="E16" s="3" t="s">
        <v>338</v>
      </c>
      <c r="F16" s="3" t="s">
        <v>366</v>
      </c>
      <c r="G16" s="3" t="s">
        <v>382</v>
      </c>
      <c r="H16" s="3" t="s">
        <v>383</v>
      </c>
      <c r="I16" s="3" t="s">
        <v>384</v>
      </c>
    </row>
    <row r="17" spans="1:9" ht="16.899999999999999" thickBot="1">
      <c r="A17" s="3" t="s">
        <v>84</v>
      </c>
      <c r="B17" s="3">
        <v>3085</v>
      </c>
      <c r="C17" s="3">
        <v>27</v>
      </c>
      <c r="D17" s="3">
        <v>840</v>
      </c>
      <c r="E17" s="3" t="s">
        <v>385</v>
      </c>
      <c r="F17" s="3" t="s">
        <v>385</v>
      </c>
      <c r="G17" s="3" t="s">
        <v>23</v>
      </c>
      <c r="H17" s="3" t="s">
        <v>386</v>
      </c>
      <c r="I17" s="3" t="s">
        <v>387</v>
      </c>
    </row>
    <row r="18" spans="1:9" ht="16.899999999999999" thickBot="1">
      <c r="A18" s="3" t="s">
        <v>280</v>
      </c>
      <c r="B18" s="3">
        <v>2138</v>
      </c>
      <c r="C18" s="3">
        <v>39</v>
      </c>
      <c r="D18" s="3">
        <v>1176</v>
      </c>
      <c r="E18" s="3" t="s">
        <v>388</v>
      </c>
      <c r="F18" s="3" t="s">
        <v>389</v>
      </c>
      <c r="G18" s="3" t="s">
        <v>390</v>
      </c>
      <c r="H18" s="3" t="s">
        <v>391</v>
      </c>
      <c r="I18" s="3" t="s">
        <v>392</v>
      </c>
    </row>
    <row r="19" spans="1:9" ht="16.899999999999999" thickBot="1">
      <c r="A19" s="3" t="s">
        <v>43</v>
      </c>
      <c r="B19" s="3">
        <v>7631</v>
      </c>
      <c r="C19" s="3">
        <v>61</v>
      </c>
      <c r="D19" s="3">
        <v>1926</v>
      </c>
      <c r="E19" s="3" t="s">
        <v>393</v>
      </c>
      <c r="F19" s="3" t="s">
        <v>394</v>
      </c>
      <c r="G19" s="3" t="s">
        <v>395</v>
      </c>
      <c r="H19" s="3" t="s">
        <v>396</v>
      </c>
      <c r="I19" s="3" t="s">
        <v>397</v>
      </c>
    </row>
    <row r="20" spans="1:9" ht="16.899999999999999" thickBot="1">
      <c r="A20" s="3" t="s">
        <v>49</v>
      </c>
      <c r="B20" s="3">
        <v>2572</v>
      </c>
      <c r="C20" s="3">
        <v>39</v>
      </c>
      <c r="D20" s="3">
        <v>1167</v>
      </c>
      <c r="E20" s="3" t="s">
        <v>398</v>
      </c>
      <c r="F20" s="3" t="s">
        <v>399</v>
      </c>
      <c r="G20" s="3" t="s">
        <v>400</v>
      </c>
      <c r="H20" s="3" t="s">
        <v>231</v>
      </c>
      <c r="I20" s="3" t="s">
        <v>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6245-8C4D-430D-9B83-57134E1C09D9}">
  <dimension ref="A1:I22"/>
  <sheetViews>
    <sheetView workbookViewId="0">
      <selection activeCell="A2" sqref="A2:A22"/>
    </sheetView>
  </sheetViews>
  <sheetFormatPr defaultColWidth="45.28515625" defaultRowHeight="14.45"/>
  <cols>
    <col min="1" max="1" width="31.5703125" bestFit="1" customWidth="1"/>
    <col min="2" max="2" width="10.5703125" bestFit="1" customWidth="1"/>
    <col min="3" max="3" width="14.28515625" bestFit="1" customWidth="1"/>
    <col min="4" max="4" width="20" customWidth="1"/>
    <col min="5" max="5" width="18.42578125" bestFit="1" customWidth="1"/>
    <col min="6" max="6" width="21.28515625" customWidth="1"/>
    <col min="7" max="7" width="13.85546875" bestFit="1" customWidth="1"/>
    <col min="8" max="8" width="17.7109375" customWidth="1"/>
    <col min="9" max="9" width="9.28515625" bestFit="1" customWidth="1"/>
  </cols>
  <sheetData>
    <row r="1" spans="1:9" ht="37.9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55</v>
      </c>
      <c r="B2" s="3">
        <v>4431</v>
      </c>
      <c r="C2" s="3">
        <v>42</v>
      </c>
      <c r="D2" s="3">
        <v>972</v>
      </c>
      <c r="E2" s="3" t="s">
        <v>402</v>
      </c>
      <c r="F2" s="3" t="s">
        <v>402</v>
      </c>
      <c r="G2" s="3" t="s">
        <v>23</v>
      </c>
      <c r="H2" s="3" t="s">
        <v>403</v>
      </c>
      <c r="I2" s="3" t="s">
        <v>404</v>
      </c>
    </row>
    <row r="3" spans="1:9" ht="16.899999999999999" thickBot="1">
      <c r="A3" s="3" t="s">
        <v>405</v>
      </c>
      <c r="B3" s="3">
        <v>1440</v>
      </c>
      <c r="C3" s="3">
        <v>35</v>
      </c>
      <c r="D3" s="3">
        <v>804</v>
      </c>
      <c r="E3" s="3" t="s">
        <v>406</v>
      </c>
      <c r="F3" s="3" t="s">
        <v>406</v>
      </c>
      <c r="G3" s="3" t="s">
        <v>23</v>
      </c>
      <c r="H3" s="3" t="s">
        <v>407</v>
      </c>
      <c r="I3" s="3" t="s">
        <v>147</v>
      </c>
    </row>
    <row r="4" spans="1:9" ht="16.899999999999999" thickBot="1">
      <c r="A4" s="3" t="s">
        <v>9</v>
      </c>
      <c r="B4" s="3">
        <v>2039</v>
      </c>
      <c r="C4" s="3">
        <v>33</v>
      </c>
      <c r="D4" s="3">
        <v>762</v>
      </c>
      <c r="E4" s="3" t="s">
        <v>408</v>
      </c>
      <c r="F4" s="3" t="s">
        <v>409</v>
      </c>
      <c r="G4" s="3" t="s">
        <v>410</v>
      </c>
      <c r="H4" s="3" t="s">
        <v>411</v>
      </c>
      <c r="I4" s="3" t="s">
        <v>412</v>
      </c>
    </row>
    <row r="5" spans="1:9" ht="16.899999999999999" thickBot="1">
      <c r="A5" s="3" t="s">
        <v>141</v>
      </c>
      <c r="B5" s="3">
        <v>1437</v>
      </c>
      <c r="C5" s="3">
        <v>36</v>
      </c>
      <c r="D5" s="3">
        <v>831</v>
      </c>
      <c r="E5" s="3" t="s">
        <v>413</v>
      </c>
      <c r="F5" s="3" t="s">
        <v>413</v>
      </c>
      <c r="G5" s="3" t="s">
        <v>23</v>
      </c>
      <c r="H5" s="3" t="s">
        <v>414</v>
      </c>
      <c r="I5" s="3" t="s">
        <v>415</v>
      </c>
    </row>
    <row r="6" spans="1:9" ht="16.899999999999999" thickBot="1">
      <c r="A6" s="3" t="s">
        <v>72</v>
      </c>
      <c r="B6" s="3">
        <v>3204</v>
      </c>
      <c r="C6" s="3">
        <v>35</v>
      </c>
      <c r="D6" s="3">
        <v>801</v>
      </c>
      <c r="E6" s="3" t="s">
        <v>416</v>
      </c>
      <c r="F6" s="3" t="s">
        <v>416</v>
      </c>
      <c r="G6" s="3" t="s">
        <v>23</v>
      </c>
      <c r="H6" s="3" t="s">
        <v>417</v>
      </c>
      <c r="I6" s="3" t="s">
        <v>418</v>
      </c>
    </row>
    <row r="7" spans="1:9" ht="16.899999999999999" thickBot="1">
      <c r="A7" s="3" t="s">
        <v>74</v>
      </c>
      <c r="B7" s="3">
        <v>2344</v>
      </c>
      <c r="C7" s="3">
        <v>39</v>
      </c>
      <c r="D7" s="3">
        <v>900</v>
      </c>
      <c r="E7" s="3" t="s">
        <v>419</v>
      </c>
      <c r="F7" s="3" t="s">
        <v>420</v>
      </c>
      <c r="G7" s="3" t="s">
        <v>95</v>
      </c>
      <c r="H7" s="3" t="s">
        <v>421</v>
      </c>
      <c r="I7" s="3" t="s">
        <v>422</v>
      </c>
    </row>
    <row r="8" spans="1:9" ht="16.899999999999999" thickBot="1">
      <c r="A8" s="3" t="s">
        <v>423</v>
      </c>
      <c r="B8" s="3">
        <v>4051</v>
      </c>
      <c r="C8" s="3">
        <v>42</v>
      </c>
      <c r="D8" s="3">
        <v>966</v>
      </c>
      <c r="E8" s="3" t="s">
        <v>424</v>
      </c>
      <c r="F8" s="3" t="s">
        <v>424</v>
      </c>
      <c r="G8" s="3" t="s">
        <v>23</v>
      </c>
      <c r="H8" s="3" t="s">
        <v>425</v>
      </c>
      <c r="I8" s="3" t="s">
        <v>426</v>
      </c>
    </row>
    <row r="9" spans="1:9" ht="16.899999999999999" thickBot="1">
      <c r="A9" s="3" t="s">
        <v>182</v>
      </c>
      <c r="B9" s="3">
        <v>1801</v>
      </c>
      <c r="C9" s="3">
        <v>44</v>
      </c>
      <c r="D9" s="3">
        <v>996</v>
      </c>
      <c r="E9" s="3" t="s">
        <v>427</v>
      </c>
      <c r="F9" s="3" t="s">
        <v>105</v>
      </c>
      <c r="G9" s="3" t="s">
        <v>46</v>
      </c>
      <c r="H9" s="3" t="s">
        <v>428</v>
      </c>
      <c r="I9" s="3" t="s">
        <v>429</v>
      </c>
    </row>
    <row r="10" spans="1:9" ht="16.899999999999999" thickBot="1">
      <c r="A10" s="3" t="s">
        <v>15</v>
      </c>
      <c r="B10" s="3">
        <v>1083</v>
      </c>
      <c r="C10" s="3">
        <v>14</v>
      </c>
      <c r="D10" s="3">
        <v>333</v>
      </c>
      <c r="E10" s="3" t="s">
        <v>430</v>
      </c>
      <c r="F10" s="3" t="s">
        <v>40</v>
      </c>
      <c r="G10" s="3" t="s">
        <v>431</v>
      </c>
      <c r="H10" s="3" t="s">
        <v>432</v>
      </c>
      <c r="I10" s="3" t="s">
        <v>433</v>
      </c>
    </row>
    <row r="11" spans="1:9" ht="16.899999999999999" thickBot="1">
      <c r="A11" s="3" t="s">
        <v>434</v>
      </c>
      <c r="B11" s="3">
        <v>1571</v>
      </c>
      <c r="C11" s="3">
        <v>32</v>
      </c>
      <c r="D11" s="3">
        <v>738</v>
      </c>
      <c r="E11" s="3" t="s">
        <v>435</v>
      </c>
      <c r="F11" s="3" t="s">
        <v>435</v>
      </c>
      <c r="G11" s="3" t="s">
        <v>23</v>
      </c>
      <c r="H11" s="3" t="s">
        <v>436</v>
      </c>
      <c r="I11" s="3" t="s">
        <v>437</v>
      </c>
    </row>
    <row r="12" spans="1:9" ht="16.899999999999999" thickBot="1">
      <c r="A12" s="4" t="s">
        <v>21</v>
      </c>
      <c r="B12" s="4">
        <v>3794</v>
      </c>
      <c r="C12" s="4">
        <v>34</v>
      </c>
      <c r="D12" s="4">
        <v>801</v>
      </c>
      <c r="E12" s="4" t="s">
        <v>139</v>
      </c>
      <c r="F12" s="4" t="s">
        <v>23</v>
      </c>
      <c r="G12" s="4" t="s">
        <v>139</v>
      </c>
      <c r="H12" s="4" t="s">
        <v>23</v>
      </c>
      <c r="I12" s="4" t="s">
        <v>438</v>
      </c>
    </row>
    <row r="13" spans="1:9" ht="16.899999999999999" thickBot="1">
      <c r="A13" s="3" t="s">
        <v>26</v>
      </c>
      <c r="B13" s="3">
        <v>11562</v>
      </c>
      <c r="C13" s="3">
        <v>60</v>
      </c>
      <c r="D13" s="3">
        <v>1476</v>
      </c>
      <c r="E13" s="3" t="s">
        <v>439</v>
      </c>
      <c r="F13" s="3" t="s">
        <v>439</v>
      </c>
      <c r="G13" s="3" t="s">
        <v>23</v>
      </c>
      <c r="H13" s="3" t="s">
        <v>440</v>
      </c>
      <c r="I13" s="3" t="s">
        <v>441</v>
      </c>
    </row>
    <row r="14" spans="1:9" ht="16.899999999999999" thickBot="1">
      <c r="A14" s="4" t="s">
        <v>240</v>
      </c>
      <c r="B14" s="4">
        <v>1673</v>
      </c>
      <c r="C14" s="4">
        <v>40</v>
      </c>
      <c r="D14" s="4">
        <v>906</v>
      </c>
      <c r="E14" s="4" t="s">
        <v>442</v>
      </c>
      <c r="F14" s="4" t="s">
        <v>443</v>
      </c>
      <c r="G14" s="4" t="s">
        <v>444</v>
      </c>
      <c r="H14" s="4" t="s">
        <v>445</v>
      </c>
      <c r="I14" s="4" t="s">
        <v>446</v>
      </c>
    </row>
    <row r="15" spans="1:9" ht="16.899999999999999" thickBot="1">
      <c r="A15" s="3" t="s">
        <v>28</v>
      </c>
      <c r="B15" s="3">
        <v>6588</v>
      </c>
      <c r="C15" s="3">
        <v>37</v>
      </c>
      <c r="D15" s="3">
        <v>885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447</v>
      </c>
    </row>
    <row r="16" spans="1:9" ht="16.899999999999999" thickBot="1">
      <c r="A16" s="3" t="s">
        <v>448</v>
      </c>
      <c r="B16" s="3">
        <v>1371</v>
      </c>
      <c r="C16" s="3">
        <v>28</v>
      </c>
      <c r="D16" s="3">
        <v>645</v>
      </c>
      <c r="E16" s="3" t="s">
        <v>449</v>
      </c>
      <c r="F16" s="3" t="s">
        <v>449</v>
      </c>
      <c r="G16" s="3" t="s">
        <v>23</v>
      </c>
      <c r="H16" s="3" t="s">
        <v>450</v>
      </c>
      <c r="I16" s="3" t="s">
        <v>451</v>
      </c>
    </row>
    <row r="17" spans="1:9" ht="16.899999999999999" thickBot="1">
      <c r="A17" s="3" t="s">
        <v>261</v>
      </c>
      <c r="B17" s="3">
        <v>1810</v>
      </c>
      <c r="C17" s="3">
        <v>29</v>
      </c>
      <c r="D17" s="3">
        <v>657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113</v>
      </c>
    </row>
    <row r="18" spans="1:9" ht="16.899999999999999" thickBot="1">
      <c r="A18" s="3" t="s">
        <v>39</v>
      </c>
      <c r="B18" s="3">
        <v>3763</v>
      </c>
      <c r="C18" s="3">
        <v>37</v>
      </c>
      <c r="D18" s="3">
        <v>867</v>
      </c>
      <c r="E18" s="3" t="s">
        <v>452</v>
      </c>
      <c r="F18" s="3" t="s">
        <v>452</v>
      </c>
      <c r="G18" s="3" t="s">
        <v>23</v>
      </c>
      <c r="H18" s="3" t="s">
        <v>453</v>
      </c>
      <c r="I18" s="3" t="s">
        <v>454</v>
      </c>
    </row>
    <row r="19" spans="1:9" ht="16.899999999999999" thickBot="1">
      <c r="A19" s="3" t="s">
        <v>43</v>
      </c>
      <c r="B19" s="3">
        <v>11620</v>
      </c>
      <c r="C19" s="3">
        <v>78</v>
      </c>
      <c r="D19" s="3">
        <v>1926</v>
      </c>
      <c r="E19" s="3" t="s">
        <v>58</v>
      </c>
      <c r="F19" s="3" t="s">
        <v>23</v>
      </c>
      <c r="G19" s="3" t="s">
        <v>58</v>
      </c>
      <c r="H19" s="3" t="s">
        <v>23</v>
      </c>
      <c r="I19" s="3" t="s">
        <v>455</v>
      </c>
    </row>
    <row r="20" spans="1:9" ht="16.899999999999999" thickBot="1">
      <c r="A20" s="3" t="s">
        <v>288</v>
      </c>
      <c r="B20" s="3">
        <v>3102</v>
      </c>
      <c r="C20" s="3">
        <v>84</v>
      </c>
      <c r="D20" s="3">
        <v>1926</v>
      </c>
      <c r="E20" s="3" t="s">
        <v>456</v>
      </c>
      <c r="F20" s="3" t="s">
        <v>457</v>
      </c>
      <c r="G20" s="3" t="s">
        <v>458</v>
      </c>
      <c r="H20" s="3" t="s">
        <v>459</v>
      </c>
      <c r="I20" s="3" t="s">
        <v>303</v>
      </c>
    </row>
    <row r="21" spans="1:9" ht="16.899999999999999" thickBot="1">
      <c r="A21" s="4" t="s">
        <v>49</v>
      </c>
      <c r="B21" s="4">
        <v>3338</v>
      </c>
      <c r="C21" s="4">
        <v>51</v>
      </c>
      <c r="D21" s="4">
        <v>1167</v>
      </c>
      <c r="E21" s="4" t="s">
        <v>460</v>
      </c>
      <c r="F21" s="4" t="s">
        <v>460</v>
      </c>
      <c r="G21" s="4" t="s">
        <v>23</v>
      </c>
      <c r="H21" s="4" t="s">
        <v>461</v>
      </c>
      <c r="I21" s="4" t="s">
        <v>462</v>
      </c>
    </row>
    <row r="22" spans="1:9" ht="16.899999999999999" thickBot="1">
      <c r="A22" s="3" t="s">
        <v>463</v>
      </c>
      <c r="B22" s="3">
        <v>685</v>
      </c>
      <c r="C22" s="3">
        <v>10</v>
      </c>
      <c r="D22" s="3">
        <v>237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828A-0878-4540-B375-58EC3840B271}">
  <dimension ref="A1:I11"/>
  <sheetViews>
    <sheetView workbookViewId="0">
      <selection activeCell="A2" sqref="A2"/>
    </sheetView>
  </sheetViews>
  <sheetFormatPr defaultColWidth="31.7109375" defaultRowHeight="14.45"/>
  <cols>
    <col min="1" max="1" width="31.5703125" bestFit="1" customWidth="1"/>
    <col min="2" max="2" width="10.7109375" customWidth="1"/>
    <col min="3" max="3" width="12.5703125" bestFit="1" customWidth="1"/>
    <col min="4" max="4" width="12.28515625" bestFit="1" customWidth="1"/>
    <col min="5" max="5" width="18.42578125" bestFit="1" customWidth="1"/>
    <col min="6" max="6" width="12.5703125" bestFit="1" customWidth="1"/>
    <col min="7" max="7" width="11.42578125" bestFit="1" customWidth="1"/>
    <col min="8" max="8" width="12.5703125" bestFit="1" customWidth="1"/>
    <col min="9" max="9" width="9.7109375" bestFit="1" customWidth="1"/>
  </cols>
  <sheetData>
    <row r="1" spans="1:9" ht="33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55</v>
      </c>
      <c r="B2" s="3">
        <v>2893</v>
      </c>
      <c r="C2" s="3">
        <v>31</v>
      </c>
      <c r="D2" s="3">
        <v>972</v>
      </c>
      <c r="E2" s="3" t="s">
        <v>465</v>
      </c>
      <c r="F2" s="3" t="s">
        <v>465</v>
      </c>
      <c r="G2" s="3" t="s">
        <v>23</v>
      </c>
      <c r="H2" s="3" t="s">
        <v>466</v>
      </c>
      <c r="I2" s="3" t="s">
        <v>467</v>
      </c>
    </row>
    <row r="3" spans="1:9" ht="16.899999999999999" thickBot="1">
      <c r="A3" s="3" t="s">
        <v>9</v>
      </c>
      <c r="B3" s="3">
        <v>5931</v>
      </c>
      <c r="C3" s="3">
        <v>24</v>
      </c>
      <c r="D3" s="3">
        <v>762</v>
      </c>
      <c r="E3" s="3" t="s">
        <v>468</v>
      </c>
      <c r="F3" s="3" t="s">
        <v>469</v>
      </c>
      <c r="G3" s="3" t="s">
        <v>413</v>
      </c>
      <c r="H3" s="3" t="s">
        <v>470</v>
      </c>
      <c r="I3" s="3" t="s">
        <v>471</v>
      </c>
    </row>
    <row r="4" spans="1:9" ht="16.899999999999999" thickBot="1">
      <c r="A4" s="3" t="s">
        <v>320</v>
      </c>
      <c r="B4" s="3">
        <v>4659</v>
      </c>
      <c r="C4" s="3">
        <v>31</v>
      </c>
      <c r="D4" s="3">
        <v>966</v>
      </c>
      <c r="E4" s="3" t="s">
        <v>472</v>
      </c>
      <c r="F4" s="3" t="s">
        <v>472</v>
      </c>
      <c r="G4" s="3" t="s">
        <v>23</v>
      </c>
      <c r="H4" s="3" t="s">
        <v>473</v>
      </c>
      <c r="I4" s="3" t="s">
        <v>474</v>
      </c>
    </row>
    <row r="5" spans="1:9" ht="16.899999999999999" thickBot="1">
      <c r="A5" s="3" t="s">
        <v>15</v>
      </c>
      <c r="B5" s="3">
        <v>1505</v>
      </c>
      <c r="C5" s="3">
        <v>11</v>
      </c>
      <c r="D5" s="3">
        <v>333</v>
      </c>
      <c r="E5" s="3" t="s">
        <v>475</v>
      </c>
      <c r="F5" s="3" t="s">
        <v>476</v>
      </c>
      <c r="G5" s="3" t="s">
        <v>477</v>
      </c>
      <c r="H5" s="3" t="s">
        <v>478</v>
      </c>
      <c r="I5" s="3" t="s">
        <v>479</v>
      </c>
    </row>
    <row r="6" spans="1:9" ht="16.899999999999999" thickBot="1">
      <c r="A6" s="3" t="s">
        <v>207</v>
      </c>
      <c r="B6" s="3">
        <v>1065</v>
      </c>
      <c r="C6" s="3">
        <v>17</v>
      </c>
      <c r="D6" s="3">
        <v>533</v>
      </c>
      <c r="E6" s="3" t="s">
        <v>480</v>
      </c>
      <c r="F6" s="3" t="s">
        <v>481</v>
      </c>
      <c r="G6" s="3" t="s">
        <v>482</v>
      </c>
      <c r="H6" s="3" t="s">
        <v>483</v>
      </c>
      <c r="I6" s="3" t="s">
        <v>484</v>
      </c>
    </row>
    <row r="7" spans="1:9" ht="16.899999999999999" thickBot="1">
      <c r="A7" s="3" t="s">
        <v>21</v>
      </c>
      <c r="B7" s="3">
        <v>1817</v>
      </c>
      <c r="C7" s="3">
        <v>26</v>
      </c>
      <c r="D7" s="3">
        <v>801</v>
      </c>
      <c r="E7" s="3" t="s">
        <v>485</v>
      </c>
      <c r="F7" s="3" t="s">
        <v>486</v>
      </c>
      <c r="G7" s="3" t="s">
        <v>252</v>
      </c>
      <c r="H7" s="3" t="s">
        <v>487</v>
      </c>
      <c r="I7" s="3" t="s">
        <v>488</v>
      </c>
    </row>
    <row r="8" spans="1:9" ht="16.899999999999999" thickBot="1">
      <c r="A8" s="3" t="s">
        <v>26</v>
      </c>
      <c r="B8" s="3">
        <v>10913</v>
      </c>
      <c r="C8" s="3">
        <v>44</v>
      </c>
      <c r="D8" s="3">
        <v>1476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489</v>
      </c>
    </row>
    <row r="9" spans="1:9" ht="16.899999999999999" thickBot="1">
      <c r="A9" s="3" t="s">
        <v>28</v>
      </c>
      <c r="B9" s="3">
        <v>5393</v>
      </c>
      <c r="C9" s="3">
        <v>28</v>
      </c>
      <c r="D9" s="3">
        <v>885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490</v>
      </c>
    </row>
    <row r="10" spans="1:9" ht="16.899999999999999" thickBot="1">
      <c r="A10" s="3" t="s">
        <v>36</v>
      </c>
      <c r="B10" s="3">
        <v>2445</v>
      </c>
      <c r="C10" s="3">
        <v>29</v>
      </c>
      <c r="D10" s="3">
        <v>885</v>
      </c>
      <c r="E10" s="3" t="s">
        <v>491</v>
      </c>
      <c r="F10" s="3" t="s">
        <v>492</v>
      </c>
      <c r="G10" s="3" t="s">
        <v>493</v>
      </c>
      <c r="H10" s="3" t="s">
        <v>494</v>
      </c>
      <c r="I10" s="3" t="s">
        <v>495</v>
      </c>
    </row>
    <row r="11" spans="1:9" ht="16.899999999999999" thickBot="1">
      <c r="A11" s="3" t="s">
        <v>43</v>
      </c>
      <c r="B11" s="3">
        <v>8108</v>
      </c>
      <c r="C11" s="3">
        <v>59</v>
      </c>
      <c r="D11" s="3">
        <v>1926</v>
      </c>
      <c r="E11" s="3" t="s">
        <v>496</v>
      </c>
      <c r="F11" s="3" t="s">
        <v>497</v>
      </c>
      <c r="G11" s="3" t="s">
        <v>498</v>
      </c>
      <c r="H11" s="3" t="s">
        <v>499</v>
      </c>
      <c r="I11" s="3" t="s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8673-6114-4CB4-8AD7-01AD7CA128A5}">
  <dimension ref="A1:I11"/>
  <sheetViews>
    <sheetView workbookViewId="0">
      <selection activeCell="A2" sqref="A2"/>
    </sheetView>
  </sheetViews>
  <sheetFormatPr defaultColWidth="38.140625" defaultRowHeight="14.45"/>
  <cols>
    <col min="1" max="1" width="26.42578125" bestFit="1" customWidth="1"/>
    <col min="2" max="2" width="9.28515625" bestFit="1" customWidth="1"/>
    <col min="3" max="3" width="14.28515625" bestFit="1" customWidth="1"/>
    <col min="4" max="4" width="13.85546875" customWidth="1"/>
    <col min="5" max="5" width="15.42578125" bestFit="1" customWidth="1"/>
    <col min="6" max="6" width="12.5703125" bestFit="1" customWidth="1"/>
    <col min="7" max="7" width="11.42578125" bestFit="1" customWidth="1"/>
    <col min="8" max="8" width="12.5703125" bestFit="1" customWidth="1"/>
    <col min="9" max="9" width="8.28515625" bestFit="1" customWidth="1"/>
  </cols>
  <sheetData>
    <row r="1" spans="1:9" ht="33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72</v>
      </c>
      <c r="B2" s="3">
        <v>835</v>
      </c>
      <c r="C2" s="3">
        <v>14</v>
      </c>
      <c r="D2" s="3">
        <v>801</v>
      </c>
      <c r="E2" s="3" t="s">
        <v>501</v>
      </c>
      <c r="F2" s="3" t="s">
        <v>502</v>
      </c>
      <c r="G2" s="3" t="s">
        <v>88</v>
      </c>
      <c r="H2" s="3" t="s">
        <v>503</v>
      </c>
      <c r="I2" s="3" t="s">
        <v>504</v>
      </c>
    </row>
    <row r="3" spans="1:9" ht="16.899999999999999" thickBot="1">
      <c r="A3" s="3" t="s">
        <v>423</v>
      </c>
      <c r="B3" s="3">
        <v>2042</v>
      </c>
      <c r="C3" s="3">
        <v>16</v>
      </c>
      <c r="D3" s="3">
        <v>966</v>
      </c>
      <c r="E3" s="3" t="s">
        <v>116</v>
      </c>
      <c r="F3" s="3" t="s">
        <v>505</v>
      </c>
      <c r="G3" s="3" t="s">
        <v>139</v>
      </c>
      <c r="H3" s="3" t="s">
        <v>506</v>
      </c>
      <c r="I3" s="3" t="s">
        <v>451</v>
      </c>
    </row>
    <row r="4" spans="1:9" ht="16.899999999999999" thickBot="1">
      <c r="A4" s="3" t="s">
        <v>15</v>
      </c>
      <c r="B4" s="3">
        <v>797</v>
      </c>
      <c r="C4" s="3">
        <v>5</v>
      </c>
      <c r="D4" s="3">
        <v>333</v>
      </c>
      <c r="E4" s="3" t="s">
        <v>507</v>
      </c>
      <c r="F4" s="3" t="s">
        <v>507</v>
      </c>
      <c r="G4" s="3" t="s">
        <v>23</v>
      </c>
      <c r="H4" s="3" t="s">
        <v>508</v>
      </c>
      <c r="I4" s="3" t="s">
        <v>509</v>
      </c>
    </row>
    <row r="5" spans="1:9" ht="16.899999999999999" thickBot="1">
      <c r="A5" s="3" t="s">
        <v>434</v>
      </c>
      <c r="B5" s="3">
        <v>1099</v>
      </c>
      <c r="C5" s="3">
        <v>12</v>
      </c>
      <c r="D5" s="3">
        <v>738</v>
      </c>
      <c r="E5" s="3" t="s">
        <v>510</v>
      </c>
      <c r="F5" s="3" t="s">
        <v>510</v>
      </c>
      <c r="G5" s="3" t="s">
        <v>23</v>
      </c>
      <c r="H5" s="3" t="s">
        <v>511</v>
      </c>
      <c r="I5" s="3" t="s">
        <v>512</v>
      </c>
    </row>
    <row r="6" spans="1:9" ht="16.899999999999999" thickBot="1">
      <c r="A6" s="3" t="s">
        <v>21</v>
      </c>
      <c r="B6" s="3">
        <v>3900</v>
      </c>
      <c r="C6" s="3">
        <v>13</v>
      </c>
      <c r="D6" s="3">
        <v>801</v>
      </c>
      <c r="E6" s="3" t="s">
        <v>40</v>
      </c>
      <c r="F6" s="3" t="s">
        <v>416</v>
      </c>
      <c r="G6" s="3" t="s">
        <v>64</v>
      </c>
      <c r="H6" s="3" t="s">
        <v>417</v>
      </c>
      <c r="I6" s="3" t="s">
        <v>513</v>
      </c>
    </row>
    <row r="7" spans="1:9" ht="16.899999999999999" thickBot="1">
      <c r="A7" s="3" t="s">
        <v>26</v>
      </c>
      <c r="B7" s="3">
        <v>3720</v>
      </c>
      <c r="C7" s="3">
        <v>24</v>
      </c>
      <c r="D7" s="3">
        <v>1476</v>
      </c>
      <c r="E7" s="3" t="s">
        <v>514</v>
      </c>
      <c r="F7" s="3" t="s">
        <v>514</v>
      </c>
      <c r="G7" s="3" t="s">
        <v>23</v>
      </c>
      <c r="H7" s="3" t="s">
        <v>515</v>
      </c>
      <c r="I7" s="3" t="s">
        <v>516</v>
      </c>
    </row>
    <row r="8" spans="1:9" ht="16.899999999999999" thickBot="1">
      <c r="A8" s="3" t="s">
        <v>240</v>
      </c>
      <c r="B8" s="3">
        <v>1404</v>
      </c>
      <c r="C8" s="3">
        <v>15</v>
      </c>
      <c r="D8" s="3">
        <v>906</v>
      </c>
      <c r="E8" s="3" t="s">
        <v>517</v>
      </c>
      <c r="F8" s="3" t="s">
        <v>518</v>
      </c>
      <c r="G8" s="3" t="s">
        <v>199</v>
      </c>
      <c r="H8" s="3" t="s">
        <v>519</v>
      </c>
      <c r="I8" s="3" t="s">
        <v>520</v>
      </c>
    </row>
    <row r="9" spans="1:9" ht="16.899999999999999" thickBot="1">
      <c r="A9" s="3" t="s">
        <v>28</v>
      </c>
      <c r="B9" s="3">
        <v>1963</v>
      </c>
      <c r="C9" s="3">
        <v>15</v>
      </c>
      <c r="D9" s="3">
        <v>885</v>
      </c>
      <c r="E9" s="3" t="s">
        <v>521</v>
      </c>
      <c r="F9" s="3" t="s">
        <v>522</v>
      </c>
      <c r="G9" s="3" t="s">
        <v>125</v>
      </c>
      <c r="H9" s="3" t="s">
        <v>523</v>
      </c>
      <c r="I9" s="3" t="s">
        <v>524</v>
      </c>
    </row>
    <row r="10" spans="1:9" ht="16.899999999999999" thickBot="1">
      <c r="A10" s="3" t="s">
        <v>43</v>
      </c>
      <c r="B10" s="3">
        <v>5878</v>
      </c>
      <c r="C10" s="3">
        <v>30</v>
      </c>
      <c r="D10" s="3">
        <v>1926</v>
      </c>
      <c r="E10" s="3" t="s">
        <v>497</v>
      </c>
      <c r="F10" s="3" t="s">
        <v>525</v>
      </c>
      <c r="G10" s="3" t="s">
        <v>526</v>
      </c>
      <c r="H10" s="3" t="s">
        <v>527</v>
      </c>
      <c r="I10" s="3" t="s">
        <v>528</v>
      </c>
    </row>
    <row r="11" spans="1:9" ht="16.899999999999999" thickBot="1">
      <c r="A11" s="3" t="s">
        <v>49</v>
      </c>
      <c r="B11" s="3">
        <v>2008</v>
      </c>
      <c r="C11" s="3">
        <v>19</v>
      </c>
      <c r="D11" s="3">
        <v>1167</v>
      </c>
      <c r="E11" s="3" t="s">
        <v>529</v>
      </c>
      <c r="F11" s="3" t="s">
        <v>529</v>
      </c>
      <c r="G11" s="3" t="s">
        <v>23</v>
      </c>
      <c r="H11" s="3" t="s">
        <v>530</v>
      </c>
      <c r="I11" s="3" t="s">
        <v>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7839-DE5A-4AC7-B5D9-38960406F6B8}">
  <dimension ref="A1:I18"/>
  <sheetViews>
    <sheetView workbookViewId="0">
      <selection activeCell="A2" sqref="A2"/>
    </sheetView>
  </sheetViews>
  <sheetFormatPr defaultColWidth="32.7109375" defaultRowHeight="14.45"/>
  <cols>
    <col min="1" max="1" width="31.5703125" bestFit="1" customWidth="1"/>
    <col min="2" max="2" width="8.42578125" bestFit="1" customWidth="1"/>
    <col min="3" max="3" width="12.5703125" bestFit="1" customWidth="1"/>
    <col min="4" max="4" width="16.5703125" customWidth="1"/>
    <col min="5" max="5" width="15.42578125" bestFit="1" customWidth="1"/>
    <col min="6" max="6" width="22" customWidth="1"/>
    <col min="7" max="7" width="11.42578125" bestFit="1" customWidth="1"/>
    <col min="8" max="8" width="18.28515625" customWidth="1"/>
    <col min="9" max="9" width="8.28515625" bestFit="1" customWidth="1"/>
  </cols>
  <sheetData>
    <row r="1" spans="1:9" ht="33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91</v>
      </c>
      <c r="B2" s="3">
        <v>1527</v>
      </c>
      <c r="C2" s="3">
        <v>29</v>
      </c>
      <c r="D2" s="3">
        <v>837</v>
      </c>
      <c r="E2" s="3" t="s">
        <v>531</v>
      </c>
      <c r="F2" s="3" t="s">
        <v>532</v>
      </c>
      <c r="G2" s="3" t="s">
        <v>151</v>
      </c>
      <c r="H2" s="3" t="s">
        <v>533</v>
      </c>
      <c r="I2" s="3" t="s">
        <v>534</v>
      </c>
    </row>
    <row r="3" spans="1:9" ht="16.899999999999999" thickBot="1">
      <c r="A3" s="3" t="s">
        <v>535</v>
      </c>
      <c r="B3" s="3">
        <v>1511</v>
      </c>
      <c r="C3" s="3">
        <v>28</v>
      </c>
      <c r="D3" s="3">
        <v>804</v>
      </c>
      <c r="E3" s="3" t="s">
        <v>536</v>
      </c>
      <c r="F3" s="3" t="s">
        <v>155</v>
      </c>
      <c r="G3" s="3" t="s">
        <v>64</v>
      </c>
      <c r="H3" s="3" t="s">
        <v>537</v>
      </c>
      <c r="I3" s="3" t="s">
        <v>538</v>
      </c>
    </row>
    <row r="4" spans="1:9" ht="16.899999999999999" thickBot="1">
      <c r="A4" s="3" t="s">
        <v>9</v>
      </c>
      <c r="B4" s="3">
        <v>2937</v>
      </c>
      <c r="C4" s="3">
        <v>26</v>
      </c>
      <c r="D4" s="3">
        <v>762</v>
      </c>
      <c r="E4" s="3" t="s">
        <v>539</v>
      </c>
      <c r="F4" s="3" t="s">
        <v>540</v>
      </c>
      <c r="G4" s="3" t="s">
        <v>541</v>
      </c>
      <c r="H4" s="3" t="s">
        <v>542</v>
      </c>
      <c r="I4" s="3" t="s">
        <v>543</v>
      </c>
    </row>
    <row r="5" spans="1:9" ht="16.899999999999999" thickBot="1">
      <c r="A5" s="3" t="s">
        <v>544</v>
      </c>
      <c r="B5" s="3">
        <v>1468</v>
      </c>
      <c r="C5" s="3">
        <v>27</v>
      </c>
      <c r="D5" s="3">
        <v>801</v>
      </c>
      <c r="E5" s="3" t="s">
        <v>514</v>
      </c>
      <c r="F5" s="3" t="s">
        <v>514</v>
      </c>
      <c r="G5" s="3" t="s">
        <v>23</v>
      </c>
      <c r="H5" s="3" t="s">
        <v>515</v>
      </c>
      <c r="I5" s="3" t="s">
        <v>545</v>
      </c>
    </row>
    <row r="6" spans="1:9" ht="16.899999999999999" thickBot="1">
      <c r="A6" s="3" t="s">
        <v>546</v>
      </c>
      <c r="B6" s="3">
        <v>2078</v>
      </c>
      <c r="C6" s="3">
        <v>33</v>
      </c>
      <c r="D6" s="3">
        <v>966</v>
      </c>
      <c r="E6" s="3" t="s">
        <v>547</v>
      </c>
      <c r="F6" s="3" t="s">
        <v>548</v>
      </c>
      <c r="G6" s="3" t="s">
        <v>245</v>
      </c>
      <c r="H6" s="3" t="s">
        <v>549</v>
      </c>
      <c r="I6" s="3" t="s">
        <v>137</v>
      </c>
    </row>
    <row r="7" spans="1:9" ht="16.899999999999999" thickBot="1">
      <c r="A7" s="3" t="s">
        <v>15</v>
      </c>
      <c r="B7" s="3">
        <v>1034</v>
      </c>
      <c r="C7" s="3">
        <v>11</v>
      </c>
      <c r="D7" s="3">
        <v>333</v>
      </c>
      <c r="E7" s="3" t="s">
        <v>550</v>
      </c>
      <c r="F7" s="3" t="s">
        <v>550</v>
      </c>
      <c r="G7" s="3" t="s">
        <v>23</v>
      </c>
      <c r="H7" s="3" t="s">
        <v>551</v>
      </c>
      <c r="I7" s="3" t="s">
        <v>552</v>
      </c>
    </row>
    <row r="8" spans="1:9" ht="16.899999999999999" thickBot="1">
      <c r="A8" s="3" t="s">
        <v>201</v>
      </c>
      <c r="B8" s="3">
        <v>1442</v>
      </c>
      <c r="C8" s="3">
        <v>32</v>
      </c>
      <c r="D8" s="3">
        <v>945</v>
      </c>
      <c r="E8" s="3" t="s">
        <v>553</v>
      </c>
      <c r="F8" s="3" t="s">
        <v>554</v>
      </c>
      <c r="G8" s="3" t="s">
        <v>555</v>
      </c>
      <c r="H8" s="3" t="s">
        <v>556</v>
      </c>
      <c r="I8" s="3" t="s">
        <v>557</v>
      </c>
    </row>
    <row r="9" spans="1:9" ht="16.899999999999999" thickBot="1">
      <c r="A9" s="3" t="s">
        <v>26</v>
      </c>
      <c r="B9" s="3">
        <v>12989</v>
      </c>
      <c r="C9" s="3">
        <v>45</v>
      </c>
      <c r="D9" s="3">
        <v>1476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558</v>
      </c>
    </row>
    <row r="10" spans="1:9" ht="16.899999999999999" thickBot="1">
      <c r="A10" s="3" t="s">
        <v>240</v>
      </c>
      <c r="B10" s="3">
        <v>1378</v>
      </c>
      <c r="C10" s="3">
        <v>31</v>
      </c>
      <c r="D10" s="3">
        <v>906</v>
      </c>
      <c r="E10" s="3" t="s">
        <v>559</v>
      </c>
      <c r="F10" s="3" t="s">
        <v>416</v>
      </c>
      <c r="G10" s="3" t="s">
        <v>75</v>
      </c>
      <c r="H10" s="3" t="s">
        <v>560</v>
      </c>
      <c r="I10" s="3" t="s">
        <v>512</v>
      </c>
    </row>
    <row r="11" spans="1:9" ht="16.899999999999999" thickBot="1">
      <c r="A11" s="3" t="s">
        <v>28</v>
      </c>
      <c r="B11" s="3">
        <v>4870</v>
      </c>
      <c r="C11" s="3">
        <v>29</v>
      </c>
      <c r="D11" s="3">
        <v>885</v>
      </c>
      <c r="E11" s="3" t="s">
        <v>561</v>
      </c>
      <c r="F11" s="3" t="s">
        <v>561</v>
      </c>
      <c r="G11" s="3" t="s">
        <v>23</v>
      </c>
      <c r="H11" s="3" t="s">
        <v>562</v>
      </c>
      <c r="I11" s="3" t="s">
        <v>563</v>
      </c>
    </row>
    <row r="12" spans="1:9" ht="16.899999999999999" thickBot="1">
      <c r="A12" s="4" t="s">
        <v>30</v>
      </c>
      <c r="B12" s="4">
        <v>3781</v>
      </c>
      <c r="C12" s="4">
        <v>41</v>
      </c>
      <c r="D12" s="4">
        <v>1224</v>
      </c>
      <c r="E12" s="4" t="s">
        <v>564</v>
      </c>
      <c r="F12" s="4" t="s">
        <v>565</v>
      </c>
      <c r="G12" s="4" t="s">
        <v>566</v>
      </c>
      <c r="H12" s="4" t="s">
        <v>567</v>
      </c>
      <c r="I12" s="4" t="s">
        <v>568</v>
      </c>
    </row>
    <row r="13" spans="1:9" ht="16.899999999999999" thickBot="1">
      <c r="A13" s="3" t="s">
        <v>36</v>
      </c>
      <c r="B13" s="3">
        <v>2071</v>
      </c>
      <c r="C13" s="3">
        <v>30</v>
      </c>
      <c r="D13" s="3">
        <v>885</v>
      </c>
      <c r="E13" s="3" t="s">
        <v>569</v>
      </c>
      <c r="F13" s="3" t="s">
        <v>16</v>
      </c>
      <c r="G13" s="3" t="s">
        <v>570</v>
      </c>
      <c r="H13" s="3" t="s">
        <v>571</v>
      </c>
      <c r="I13" s="3" t="s">
        <v>572</v>
      </c>
    </row>
    <row r="14" spans="1:9" ht="16.899999999999999" thickBot="1">
      <c r="A14" s="3" t="s">
        <v>573</v>
      </c>
      <c r="B14" s="3">
        <v>2059</v>
      </c>
      <c r="C14" s="3">
        <v>43</v>
      </c>
      <c r="D14" s="3">
        <v>1260</v>
      </c>
      <c r="E14" s="3" t="s">
        <v>574</v>
      </c>
      <c r="F14" s="3" t="s">
        <v>575</v>
      </c>
      <c r="G14" s="3" t="s">
        <v>252</v>
      </c>
      <c r="H14" s="3" t="s">
        <v>576</v>
      </c>
      <c r="I14" s="3" t="s">
        <v>219</v>
      </c>
    </row>
    <row r="15" spans="1:9" ht="16.899999999999999" thickBot="1">
      <c r="A15" s="3" t="s">
        <v>39</v>
      </c>
      <c r="B15" s="3">
        <v>2498</v>
      </c>
      <c r="C15" s="3">
        <v>29</v>
      </c>
      <c r="D15" s="3">
        <v>867</v>
      </c>
      <c r="E15" s="3" t="s">
        <v>577</v>
      </c>
      <c r="F15" s="3" t="s">
        <v>578</v>
      </c>
      <c r="G15" s="3" t="s">
        <v>151</v>
      </c>
      <c r="H15" s="3" t="s">
        <v>579</v>
      </c>
      <c r="I15" s="3" t="s">
        <v>580</v>
      </c>
    </row>
    <row r="16" spans="1:9" ht="16.899999999999999" thickBot="1">
      <c r="A16" s="3" t="s">
        <v>43</v>
      </c>
      <c r="B16" s="3">
        <v>11462</v>
      </c>
      <c r="C16" s="3">
        <v>60</v>
      </c>
      <c r="D16" s="3">
        <v>1926</v>
      </c>
      <c r="E16" s="3" t="s">
        <v>78</v>
      </c>
      <c r="F16" s="3" t="s">
        <v>23</v>
      </c>
      <c r="G16" s="3" t="s">
        <v>78</v>
      </c>
      <c r="H16" s="3" t="s">
        <v>23</v>
      </c>
      <c r="I16" s="3" t="s">
        <v>581</v>
      </c>
    </row>
    <row r="17" spans="1:9" ht="16.899999999999999" thickBot="1">
      <c r="A17" s="3" t="s">
        <v>49</v>
      </c>
      <c r="B17" s="3">
        <v>3325</v>
      </c>
      <c r="C17" s="3">
        <v>39</v>
      </c>
      <c r="D17" s="3">
        <v>1167</v>
      </c>
      <c r="E17" s="3" t="s">
        <v>582</v>
      </c>
      <c r="F17" s="3" t="s">
        <v>582</v>
      </c>
      <c r="G17" s="3" t="s">
        <v>23</v>
      </c>
      <c r="H17" s="3" t="s">
        <v>583</v>
      </c>
      <c r="I17" s="3" t="s">
        <v>347</v>
      </c>
    </row>
    <row r="18" spans="1:9" ht="16.899999999999999" thickBot="1">
      <c r="A18" s="3" t="s">
        <v>304</v>
      </c>
      <c r="B18" s="3">
        <v>807</v>
      </c>
      <c r="C18" s="3">
        <v>16</v>
      </c>
      <c r="D18" s="3">
        <v>474</v>
      </c>
      <c r="E18" s="3" t="s">
        <v>584</v>
      </c>
      <c r="F18" s="3" t="s">
        <v>584</v>
      </c>
      <c r="G18" s="3" t="s">
        <v>23</v>
      </c>
      <c r="H18" s="3" t="s">
        <v>585</v>
      </c>
      <c r="I18" s="3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C9B2-3101-4621-9405-5D102DF8EEEC}">
  <dimension ref="A1:I14"/>
  <sheetViews>
    <sheetView workbookViewId="0">
      <selection activeCell="A2" sqref="A2"/>
    </sheetView>
  </sheetViews>
  <sheetFormatPr defaultColWidth="36.7109375" defaultRowHeight="14.45"/>
  <cols>
    <col min="1" max="1" width="31.5703125" bestFit="1" customWidth="1"/>
    <col min="2" max="2" width="10.5703125" bestFit="1" customWidth="1"/>
    <col min="3" max="3" width="14.28515625" bestFit="1" customWidth="1"/>
    <col min="4" max="4" width="19.7109375" customWidth="1"/>
    <col min="5" max="5" width="18.42578125" bestFit="1" customWidth="1"/>
    <col min="6" max="6" width="21.5703125" customWidth="1"/>
    <col min="7" max="7" width="13.85546875" bestFit="1" customWidth="1"/>
    <col min="8" max="8" width="20.140625" customWidth="1"/>
    <col min="9" max="9" width="9.28515625" bestFit="1" customWidth="1"/>
  </cols>
  <sheetData>
    <row r="1" spans="1:9" ht="35.450000000000003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55</v>
      </c>
      <c r="B2" s="3">
        <v>3650</v>
      </c>
      <c r="C2" s="3">
        <v>38</v>
      </c>
      <c r="D2" s="3">
        <v>972</v>
      </c>
      <c r="E2" s="3" t="s">
        <v>586</v>
      </c>
      <c r="F2" s="3" t="s">
        <v>587</v>
      </c>
      <c r="G2" s="3" t="s">
        <v>588</v>
      </c>
      <c r="H2" s="3" t="s">
        <v>589</v>
      </c>
      <c r="I2" s="3" t="s">
        <v>590</v>
      </c>
    </row>
    <row r="3" spans="1:9" ht="16.899999999999999" thickBot="1">
      <c r="A3" s="3" t="s">
        <v>66</v>
      </c>
      <c r="B3" s="3">
        <v>3828</v>
      </c>
      <c r="C3" s="3">
        <v>30</v>
      </c>
      <c r="D3" s="3">
        <v>762</v>
      </c>
      <c r="E3" s="3" t="s">
        <v>591</v>
      </c>
      <c r="F3" s="3" t="s">
        <v>592</v>
      </c>
      <c r="G3" s="3" t="s">
        <v>593</v>
      </c>
      <c r="H3" s="3" t="s">
        <v>594</v>
      </c>
      <c r="I3" s="3" t="s">
        <v>595</v>
      </c>
    </row>
    <row r="4" spans="1:9" ht="16.899999999999999" thickBot="1">
      <c r="A4" s="3" t="s">
        <v>596</v>
      </c>
      <c r="B4" s="3">
        <v>3059</v>
      </c>
      <c r="C4" s="3">
        <v>31</v>
      </c>
      <c r="D4" s="3">
        <v>801</v>
      </c>
      <c r="E4" s="3" t="s">
        <v>597</v>
      </c>
      <c r="F4" s="3" t="s">
        <v>597</v>
      </c>
      <c r="G4" s="3" t="s">
        <v>23</v>
      </c>
      <c r="H4" s="3" t="s">
        <v>598</v>
      </c>
      <c r="I4" s="3" t="s">
        <v>166</v>
      </c>
    </row>
    <row r="5" spans="1:9" ht="16.899999999999999" thickBot="1">
      <c r="A5" s="3" t="s">
        <v>74</v>
      </c>
      <c r="B5" s="3">
        <v>2080</v>
      </c>
      <c r="C5" s="3">
        <v>36</v>
      </c>
      <c r="D5" s="3">
        <v>900</v>
      </c>
      <c r="E5" s="3" t="s">
        <v>525</v>
      </c>
      <c r="F5" s="3" t="s">
        <v>599</v>
      </c>
      <c r="G5" s="3" t="s">
        <v>600</v>
      </c>
      <c r="H5" s="3" t="s">
        <v>601</v>
      </c>
      <c r="I5" s="3" t="s">
        <v>602</v>
      </c>
    </row>
    <row r="6" spans="1:9" ht="16.899999999999999" thickBot="1">
      <c r="A6" s="3" t="s">
        <v>423</v>
      </c>
      <c r="B6" s="3">
        <v>4458</v>
      </c>
      <c r="C6" s="3">
        <v>38</v>
      </c>
      <c r="D6" s="3">
        <v>966</v>
      </c>
      <c r="E6" s="3" t="s">
        <v>603</v>
      </c>
      <c r="F6" s="3" t="s">
        <v>604</v>
      </c>
      <c r="G6" s="3" t="s">
        <v>75</v>
      </c>
      <c r="H6" s="3" t="s">
        <v>605</v>
      </c>
      <c r="I6" s="3" t="s">
        <v>606</v>
      </c>
    </row>
    <row r="7" spans="1:9" ht="16.899999999999999" thickBot="1">
      <c r="A7" s="3" t="s">
        <v>15</v>
      </c>
      <c r="B7" s="3">
        <v>686</v>
      </c>
      <c r="C7" s="3">
        <v>13</v>
      </c>
      <c r="D7" s="3">
        <v>333</v>
      </c>
      <c r="E7" s="3" t="s">
        <v>550</v>
      </c>
      <c r="F7" s="3" t="s">
        <v>607</v>
      </c>
      <c r="G7" s="3" t="s">
        <v>608</v>
      </c>
      <c r="H7" s="3" t="s">
        <v>609</v>
      </c>
      <c r="I7" s="3" t="s">
        <v>610</v>
      </c>
    </row>
    <row r="8" spans="1:9" ht="16.899999999999999" thickBot="1">
      <c r="A8" s="3" t="s">
        <v>21</v>
      </c>
      <c r="B8" s="3">
        <v>4867</v>
      </c>
      <c r="C8" s="3">
        <v>31</v>
      </c>
      <c r="D8" s="3">
        <v>801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611</v>
      </c>
    </row>
    <row r="9" spans="1:9" ht="16.899999999999999" thickBot="1">
      <c r="A9" s="3" t="s">
        <v>26</v>
      </c>
      <c r="B9" s="3">
        <v>7372</v>
      </c>
      <c r="C9" s="3">
        <v>56</v>
      </c>
      <c r="D9" s="3">
        <v>1476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612</v>
      </c>
    </row>
    <row r="10" spans="1:9" ht="16.899999999999999" thickBot="1">
      <c r="A10" s="3" t="s">
        <v>240</v>
      </c>
      <c r="B10" s="3">
        <v>2618</v>
      </c>
      <c r="C10" s="3">
        <v>36</v>
      </c>
      <c r="D10" s="3">
        <v>906</v>
      </c>
      <c r="E10" s="3" t="s">
        <v>613</v>
      </c>
      <c r="F10" s="3" t="s">
        <v>613</v>
      </c>
      <c r="G10" s="3" t="s">
        <v>23</v>
      </c>
      <c r="H10" s="3" t="s">
        <v>614</v>
      </c>
      <c r="I10" s="3" t="s">
        <v>580</v>
      </c>
    </row>
    <row r="11" spans="1:9" ht="16.899999999999999" thickBot="1">
      <c r="A11" s="3" t="s">
        <v>28</v>
      </c>
      <c r="B11" s="3">
        <v>5188</v>
      </c>
      <c r="C11" s="3">
        <v>34</v>
      </c>
      <c r="D11" s="3">
        <v>885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615</v>
      </c>
    </row>
    <row r="12" spans="1:9" ht="16.899999999999999" thickBot="1">
      <c r="A12" s="4" t="s">
        <v>84</v>
      </c>
      <c r="B12" s="4">
        <v>6464</v>
      </c>
      <c r="C12" s="4">
        <v>32</v>
      </c>
      <c r="D12" s="4">
        <v>840</v>
      </c>
      <c r="E12" s="4" t="s">
        <v>139</v>
      </c>
      <c r="F12" s="4" t="s">
        <v>139</v>
      </c>
      <c r="G12" s="4" t="s">
        <v>23</v>
      </c>
      <c r="H12" s="4" t="s">
        <v>616</v>
      </c>
      <c r="I12" s="4" t="s">
        <v>617</v>
      </c>
    </row>
    <row r="13" spans="1:9" ht="16.899999999999999" thickBot="1">
      <c r="A13" s="3" t="s">
        <v>43</v>
      </c>
      <c r="B13" s="3">
        <v>16889</v>
      </c>
      <c r="C13" s="3">
        <v>67</v>
      </c>
      <c r="D13" s="3">
        <v>1926</v>
      </c>
      <c r="E13" s="3" t="s">
        <v>58</v>
      </c>
      <c r="F13" s="3" t="s">
        <v>23</v>
      </c>
      <c r="G13" s="3" t="s">
        <v>58</v>
      </c>
      <c r="H13" s="3" t="s">
        <v>23</v>
      </c>
      <c r="I13" s="3" t="s">
        <v>618</v>
      </c>
    </row>
    <row r="14" spans="1:9" ht="16.899999999999999" thickBot="1">
      <c r="A14" s="3" t="s">
        <v>49</v>
      </c>
      <c r="B14" s="3">
        <v>3529</v>
      </c>
      <c r="C14" s="3">
        <v>46</v>
      </c>
      <c r="D14" s="3">
        <v>1167</v>
      </c>
      <c r="E14" s="3" t="s">
        <v>619</v>
      </c>
      <c r="F14" s="3" t="s">
        <v>620</v>
      </c>
      <c r="G14" s="3" t="s">
        <v>58</v>
      </c>
      <c r="H14" s="3" t="s">
        <v>621</v>
      </c>
      <c r="I14" s="3" t="s">
        <v>622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0295-C2BE-4939-8920-7BDD7F9C03F5}">
  <dimension ref="A1:I33"/>
  <sheetViews>
    <sheetView topLeftCell="A2" workbookViewId="0">
      <selection activeCell="A2" sqref="A2"/>
    </sheetView>
  </sheetViews>
  <sheetFormatPr defaultColWidth="39.7109375" defaultRowHeight="14.45"/>
  <cols>
    <col min="1" max="1" width="31.42578125" bestFit="1" customWidth="1"/>
    <col min="2" max="2" width="8.42578125" bestFit="1" customWidth="1"/>
    <col min="3" max="3" width="12.5703125" bestFit="1" customWidth="1"/>
    <col min="4" max="4" width="18.5703125" customWidth="1"/>
    <col min="5" max="5" width="15.42578125" bestFit="1" customWidth="1"/>
    <col min="6" max="6" width="22.85546875" customWidth="1"/>
    <col min="7" max="7" width="11.42578125" bestFit="1" customWidth="1"/>
    <col min="8" max="8" width="14.28515625" customWidth="1"/>
    <col min="9" max="9" width="9.28515625" bestFit="1" customWidth="1"/>
  </cols>
  <sheetData>
    <row r="1" spans="1:9" ht="42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91</v>
      </c>
      <c r="B2" s="3">
        <v>2137</v>
      </c>
      <c r="C2" s="3">
        <v>42</v>
      </c>
      <c r="D2" s="3">
        <v>837</v>
      </c>
      <c r="E2" s="3" t="s">
        <v>623</v>
      </c>
      <c r="F2" s="3" t="s">
        <v>56</v>
      </c>
      <c r="G2" s="3" t="s">
        <v>139</v>
      </c>
      <c r="H2" s="3" t="s">
        <v>624</v>
      </c>
      <c r="I2" s="3" t="s">
        <v>285</v>
      </c>
    </row>
    <row r="3" spans="1:9" ht="16.899999999999999" thickBot="1">
      <c r="A3" s="3" t="s">
        <v>535</v>
      </c>
      <c r="B3" s="3">
        <v>948</v>
      </c>
      <c r="C3" s="3">
        <v>41</v>
      </c>
      <c r="D3" s="3">
        <v>804</v>
      </c>
      <c r="E3" s="3" t="s">
        <v>625</v>
      </c>
      <c r="F3" s="3" t="s">
        <v>626</v>
      </c>
      <c r="G3" s="3" t="s">
        <v>627</v>
      </c>
      <c r="H3" s="3" t="s">
        <v>628</v>
      </c>
      <c r="I3" s="3" t="s">
        <v>629</v>
      </c>
    </row>
    <row r="4" spans="1:9" ht="16.899999999999999" thickBot="1">
      <c r="A4" s="3" t="s">
        <v>630</v>
      </c>
      <c r="B4" s="3">
        <v>1301</v>
      </c>
      <c r="C4" s="3">
        <v>44</v>
      </c>
      <c r="D4" s="3">
        <v>867</v>
      </c>
      <c r="E4" s="3" t="s">
        <v>631</v>
      </c>
      <c r="F4" s="3" t="s">
        <v>632</v>
      </c>
      <c r="G4" s="3" t="s">
        <v>400</v>
      </c>
      <c r="H4" s="3" t="s">
        <v>633</v>
      </c>
      <c r="I4" s="3" t="s">
        <v>634</v>
      </c>
    </row>
    <row r="5" spans="1:9" ht="16.899999999999999" thickBot="1">
      <c r="A5" s="3" t="s">
        <v>635</v>
      </c>
      <c r="B5" s="3">
        <v>1014</v>
      </c>
      <c r="C5" s="3">
        <v>26</v>
      </c>
      <c r="D5" s="3">
        <v>519</v>
      </c>
      <c r="E5" s="3" t="s">
        <v>636</v>
      </c>
      <c r="F5" s="3" t="s">
        <v>23</v>
      </c>
      <c r="G5" s="3" t="s">
        <v>636</v>
      </c>
      <c r="H5" s="3" t="s">
        <v>23</v>
      </c>
      <c r="I5" s="3" t="s">
        <v>637</v>
      </c>
    </row>
    <row r="6" spans="1:9" ht="16.899999999999999" thickBot="1">
      <c r="A6" s="3" t="s">
        <v>55</v>
      </c>
      <c r="B6" s="3">
        <v>4244</v>
      </c>
      <c r="C6" s="3">
        <v>48</v>
      </c>
      <c r="D6" s="3">
        <v>972</v>
      </c>
      <c r="E6" s="3" t="s">
        <v>638</v>
      </c>
      <c r="F6" s="3" t="s">
        <v>639</v>
      </c>
      <c r="G6" s="3" t="s">
        <v>640</v>
      </c>
      <c r="H6" s="3" t="s">
        <v>641</v>
      </c>
      <c r="I6" s="3" t="s">
        <v>642</v>
      </c>
    </row>
    <row r="7" spans="1:9" ht="16.899999999999999" thickBot="1">
      <c r="A7" s="3" t="s">
        <v>643</v>
      </c>
      <c r="B7" s="3">
        <v>1286</v>
      </c>
      <c r="C7" s="3">
        <v>42</v>
      </c>
      <c r="D7" s="3">
        <v>828</v>
      </c>
      <c r="E7" s="3" t="s">
        <v>644</v>
      </c>
      <c r="F7" s="3" t="s">
        <v>644</v>
      </c>
      <c r="G7" s="3" t="s">
        <v>23</v>
      </c>
      <c r="H7" s="3" t="s">
        <v>645</v>
      </c>
      <c r="I7" s="3" t="s">
        <v>520</v>
      </c>
    </row>
    <row r="8" spans="1:9" ht="16.899999999999999" thickBot="1">
      <c r="A8" s="3" t="s">
        <v>646</v>
      </c>
      <c r="B8" s="3">
        <v>877</v>
      </c>
      <c r="C8" s="3">
        <v>40</v>
      </c>
      <c r="D8" s="3">
        <v>795</v>
      </c>
      <c r="E8" s="3" t="s">
        <v>647</v>
      </c>
      <c r="F8" s="3" t="s">
        <v>648</v>
      </c>
      <c r="G8" s="3" t="s">
        <v>649</v>
      </c>
      <c r="H8" s="3" t="s">
        <v>650</v>
      </c>
      <c r="I8" s="3" t="s">
        <v>651</v>
      </c>
    </row>
    <row r="9" spans="1:9" ht="16.899999999999999" thickBot="1">
      <c r="A9" s="3" t="s">
        <v>72</v>
      </c>
      <c r="B9" s="3">
        <v>3211</v>
      </c>
      <c r="C9" s="3">
        <v>40</v>
      </c>
      <c r="D9" s="3">
        <v>801</v>
      </c>
      <c r="E9" s="3" t="s">
        <v>652</v>
      </c>
      <c r="F9" s="3" t="s">
        <v>652</v>
      </c>
      <c r="G9" s="3" t="s">
        <v>23</v>
      </c>
      <c r="H9" s="3" t="s">
        <v>653</v>
      </c>
      <c r="I9" s="3" t="s">
        <v>418</v>
      </c>
    </row>
    <row r="10" spans="1:9" ht="16.899999999999999" thickBot="1">
      <c r="A10" s="3" t="s">
        <v>74</v>
      </c>
      <c r="B10" s="3">
        <v>2681</v>
      </c>
      <c r="C10" s="3">
        <v>45</v>
      </c>
      <c r="D10" s="3">
        <v>900</v>
      </c>
      <c r="E10" s="3" t="s">
        <v>505</v>
      </c>
      <c r="F10" s="3" t="s">
        <v>654</v>
      </c>
      <c r="G10" s="3" t="s">
        <v>64</v>
      </c>
      <c r="H10" s="3" t="s">
        <v>655</v>
      </c>
      <c r="I10" s="3" t="s">
        <v>572</v>
      </c>
    </row>
    <row r="11" spans="1:9" ht="16.899999999999999" thickBot="1">
      <c r="A11" s="3" t="s">
        <v>423</v>
      </c>
      <c r="B11" s="3">
        <v>3318</v>
      </c>
      <c r="C11" s="3">
        <v>48</v>
      </c>
      <c r="D11" s="3">
        <v>966</v>
      </c>
      <c r="E11" s="3" t="s">
        <v>656</v>
      </c>
      <c r="F11" s="3" t="s">
        <v>657</v>
      </c>
      <c r="G11" s="3" t="s">
        <v>75</v>
      </c>
      <c r="H11" s="3" t="s">
        <v>658</v>
      </c>
      <c r="I11" s="3" t="s">
        <v>433</v>
      </c>
    </row>
    <row r="12" spans="1:9" ht="16.899999999999999" thickBot="1">
      <c r="A12" s="4" t="s">
        <v>659</v>
      </c>
      <c r="B12" s="4">
        <v>1382</v>
      </c>
      <c r="C12" s="4">
        <v>44</v>
      </c>
      <c r="D12" s="4">
        <v>864</v>
      </c>
      <c r="E12" s="4" t="s">
        <v>660</v>
      </c>
      <c r="F12" s="4" t="s">
        <v>660</v>
      </c>
      <c r="G12" s="4" t="s">
        <v>23</v>
      </c>
      <c r="H12" s="4" t="s">
        <v>661</v>
      </c>
      <c r="I12" s="4" t="s">
        <v>662</v>
      </c>
    </row>
    <row r="13" spans="1:9" ht="16.899999999999999" thickBot="1">
      <c r="A13" s="3" t="s">
        <v>15</v>
      </c>
      <c r="B13" s="3">
        <v>1939</v>
      </c>
      <c r="C13" s="3">
        <v>16</v>
      </c>
      <c r="D13" s="3">
        <v>333</v>
      </c>
      <c r="E13" s="3" t="s">
        <v>607</v>
      </c>
      <c r="F13" s="3" t="s">
        <v>663</v>
      </c>
      <c r="G13" s="3" t="s">
        <v>599</v>
      </c>
      <c r="H13" s="3" t="s">
        <v>664</v>
      </c>
      <c r="I13" s="3" t="s">
        <v>665</v>
      </c>
    </row>
    <row r="14" spans="1:9" ht="16.899999999999999" thickBot="1">
      <c r="A14" s="3" t="s">
        <v>207</v>
      </c>
      <c r="B14" s="3">
        <v>2040</v>
      </c>
      <c r="C14" s="3">
        <v>27</v>
      </c>
      <c r="D14" s="3">
        <v>533</v>
      </c>
      <c r="E14" s="3" t="s">
        <v>666</v>
      </c>
      <c r="F14" s="3" t="s">
        <v>667</v>
      </c>
      <c r="G14" s="3" t="s">
        <v>668</v>
      </c>
      <c r="H14" s="3" t="s">
        <v>669</v>
      </c>
      <c r="I14" s="3" t="s">
        <v>670</v>
      </c>
    </row>
    <row r="15" spans="1:9" ht="16.899999999999999" thickBot="1">
      <c r="A15" s="4" t="s">
        <v>671</v>
      </c>
      <c r="B15" s="4">
        <v>1781</v>
      </c>
      <c r="C15" s="4">
        <v>37</v>
      </c>
      <c r="D15" s="4">
        <v>738</v>
      </c>
      <c r="E15" s="4" t="s">
        <v>672</v>
      </c>
      <c r="F15" s="4" t="s">
        <v>559</v>
      </c>
      <c r="G15" s="4" t="s">
        <v>623</v>
      </c>
      <c r="H15" s="4" t="s">
        <v>673</v>
      </c>
      <c r="I15" s="4" t="s">
        <v>354</v>
      </c>
    </row>
    <row r="16" spans="1:9" ht="16.899999999999999" thickBot="1">
      <c r="A16" s="3" t="s">
        <v>21</v>
      </c>
      <c r="B16" s="3">
        <v>6358</v>
      </c>
      <c r="C16" s="3">
        <v>39</v>
      </c>
      <c r="D16" s="3">
        <v>801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674</v>
      </c>
    </row>
    <row r="17" spans="1:9" ht="16.899999999999999" thickBot="1">
      <c r="A17" s="3" t="s">
        <v>227</v>
      </c>
      <c r="B17" s="3">
        <v>2069</v>
      </c>
      <c r="C17" s="3">
        <v>62</v>
      </c>
      <c r="D17" s="3">
        <v>1230</v>
      </c>
      <c r="E17" s="3" t="s">
        <v>675</v>
      </c>
      <c r="F17" s="3" t="s">
        <v>676</v>
      </c>
      <c r="G17" s="3" t="s">
        <v>493</v>
      </c>
      <c r="H17" s="3" t="s">
        <v>677</v>
      </c>
      <c r="I17" s="3" t="s">
        <v>678</v>
      </c>
    </row>
    <row r="18" spans="1:9" ht="16.899999999999999" thickBot="1">
      <c r="A18" s="3" t="s">
        <v>26</v>
      </c>
      <c r="B18" s="3">
        <v>8736</v>
      </c>
      <c r="C18" s="3">
        <v>71</v>
      </c>
      <c r="D18" s="3">
        <v>1476</v>
      </c>
      <c r="E18" s="3" t="s">
        <v>679</v>
      </c>
      <c r="F18" s="3" t="s">
        <v>680</v>
      </c>
      <c r="G18" s="3" t="s">
        <v>681</v>
      </c>
      <c r="H18" s="3" t="s">
        <v>682</v>
      </c>
      <c r="I18" s="3" t="s">
        <v>143</v>
      </c>
    </row>
    <row r="19" spans="1:9" ht="16.899999999999999" thickBot="1">
      <c r="A19" s="3" t="s">
        <v>240</v>
      </c>
      <c r="B19" s="3">
        <v>3709</v>
      </c>
      <c r="C19" s="3">
        <v>45</v>
      </c>
      <c r="D19" s="3">
        <v>906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683</v>
      </c>
    </row>
    <row r="20" spans="1:9" ht="16.899999999999999" thickBot="1">
      <c r="A20" s="3" t="s">
        <v>28</v>
      </c>
      <c r="B20" s="3">
        <v>3656</v>
      </c>
      <c r="C20" s="3">
        <v>44</v>
      </c>
      <c r="D20" s="3">
        <v>885</v>
      </c>
      <c r="E20" s="3" t="s">
        <v>684</v>
      </c>
      <c r="F20" s="3" t="s">
        <v>685</v>
      </c>
      <c r="G20" s="3" t="s">
        <v>139</v>
      </c>
      <c r="H20" s="3" t="s">
        <v>686</v>
      </c>
      <c r="I20" s="3" t="s">
        <v>687</v>
      </c>
    </row>
    <row r="21" spans="1:9" ht="16.899999999999999" thickBot="1">
      <c r="A21" s="3" t="s">
        <v>688</v>
      </c>
      <c r="B21" s="3">
        <v>2574</v>
      </c>
      <c r="C21" s="3">
        <v>32</v>
      </c>
      <c r="D21" s="3">
        <v>645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590</v>
      </c>
    </row>
    <row r="22" spans="1:9" ht="16.899999999999999" thickBot="1">
      <c r="A22" s="3" t="s">
        <v>448</v>
      </c>
      <c r="B22" s="3">
        <v>4162</v>
      </c>
      <c r="C22" s="3">
        <v>32</v>
      </c>
      <c r="D22" s="3">
        <v>645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689</v>
      </c>
    </row>
    <row r="23" spans="1:9" ht="16.899999999999999" thickBot="1">
      <c r="A23" s="3" t="s">
        <v>261</v>
      </c>
      <c r="B23" s="3">
        <v>1640</v>
      </c>
      <c r="C23" s="3">
        <v>33</v>
      </c>
      <c r="D23" s="3">
        <v>657</v>
      </c>
      <c r="E23" s="3" t="s">
        <v>690</v>
      </c>
      <c r="F23" s="3" t="s">
        <v>690</v>
      </c>
      <c r="G23" s="3" t="s">
        <v>23</v>
      </c>
      <c r="H23" s="3" t="s">
        <v>691</v>
      </c>
      <c r="I23" s="3" t="s">
        <v>516</v>
      </c>
    </row>
    <row r="24" spans="1:9" ht="16.899999999999999" thickBot="1">
      <c r="A24" s="3" t="s">
        <v>84</v>
      </c>
      <c r="B24" s="3">
        <v>6782</v>
      </c>
      <c r="C24" s="3">
        <v>41</v>
      </c>
      <c r="D24" s="3">
        <v>840</v>
      </c>
      <c r="E24" s="3" t="s">
        <v>692</v>
      </c>
      <c r="F24" s="3" t="s">
        <v>692</v>
      </c>
      <c r="G24" s="3" t="s">
        <v>23</v>
      </c>
      <c r="H24" s="3" t="s">
        <v>693</v>
      </c>
      <c r="I24" s="3" t="s">
        <v>694</v>
      </c>
    </row>
    <row r="25" spans="1:9" ht="16.899999999999999" thickBot="1">
      <c r="A25" s="3" t="s">
        <v>695</v>
      </c>
      <c r="B25" s="3">
        <v>2015</v>
      </c>
      <c r="C25" s="3">
        <v>60</v>
      </c>
      <c r="D25" s="3">
        <v>1200</v>
      </c>
      <c r="E25" s="3" t="s">
        <v>696</v>
      </c>
      <c r="F25" s="3" t="s">
        <v>696</v>
      </c>
      <c r="G25" s="3" t="s">
        <v>23</v>
      </c>
      <c r="H25" s="3" t="s">
        <v>697</v>
      </c>
      <c r="I25" s="3" t="s">
        <v>303</v>
      </c>
    </row>
    <row r="26" spans="1:9" ht="16.899999999999999" thickBot="1">
      <c r="A26" s="4" t="s">
        <v>280</v>
      </c>
      <c r="B26" s="4">
        <v>2164</v>
      </c>
      <c r="C26" s="4">
        <v>59</v>
      </c>
      <c r="D26" s="4">
        <v>1176</v>
      </c>
      <c r="E26" s="4" t="s">
        <v>698</v>
      </c>
      <c r="F26" s="4" t="s">
        <v>699</v>
      </c>
      <c r="G26" s="4" t="s">
        <v>52</v>
      </c>
      <c r="H26" s="4" t="s">
        <v>700</v>
      </c>
      <c r="I26" s="4" t="s">
        <v>534</v>
      </c>
    </row>
    <row r="27" spans="1:9" ht="16.899999999999999" thickBot="1">
      <c r="A27" s="3" t="s">
        <v>43</v>
      </c>
      <c r="B27" s="3">
        <v>16250</v>
      </c>
      <c r="C27" s="3">
        <v>88</v>
      </c>
      <c r="D27" s="3">
        <v>1926</v>
      </c>
      <c r="E27" s="3" t="s">
        <v>88</v>
      </c>
      <c r="F27" s="3" t="s">
        <v>23</v>
      </c>
      <c r="G27" s="3" t="s">
        <v>88</v>
      </c>
      <c r="H27" s="3" t="s">
        <v>23</v>
      </c>
      <c r="I27" s="3" t="s">
        <v>701</v>
      </c>
    </row>
    <row r="28" spans="1:9" ht="16.899999999999999" thickBot="1">
      <c r="A28" s="3" t="s">
        <v>702</v>
      </c>
      <c r="B28" s="3">
        <v>2192</v>
      </c>
      <c r="C28" s="3">
        <v>97</v>
      </c>
      <c r="D28" s="3">
        <v>1926</v>
      </c>
      <c r="E28" s="3" t="s">
        <v>703</v>
      </c>
      <c r="F28" s="3" t="s">
        <v>704</v>
      </c>
      <c r="G28" s="3" t="s">
        <v>18</v>
      </c>
      <c r="H28" s="3" t="s">
        <v>705</v>
      </c>
      <c r="I28" s="3" t="s">
        <v>706</v>
      </c>
    </row>
    <row r="29" spans="1:9" ht="16.899999999999999" thickBot="1">
      <c r="A29" s="4" t="s">
        <v>288</v>
      </c>
      <c r="B29" s="4">
        <v>3280</v>
      </c>
      <c r="C29" s="4">
        <v>96</v>
      </c>
      <c r="D29" s="4">
        <v>1926</v>
      </c>
      <c r="E29" s="4" t="s">
        <v>707</v>
      </c>
      <c r="F29" s="4" t="s">
        <v>708</v>
      </c>
      <c r="G29" s="4" t="s">
        <v>709</v>
      </c>
      <c r="H29" s="4" t="s">
        <v>710</v>
      </c>
      <c r="I29" s="4" t="s">
        <v>711</v>
      </c>
    </row>
    <row r="30" spans="1:9" ht="16.899999999999999" thickBot="1">
      <c r="A30" s="3" t="s">
        <v>712</v>
      </c>
      <c r="B30" s="3">
        <v>2897</v>
      </c>
      <c r="C30" s="3">
        <v>58</v>
      </c>
      <c r="D30" s="3">
        <v>1167</v>
      </c>
      <c r="E30" s="3" t="s">
        <v>713</v>
      </c>
      <c r="F30" s="3" t="s">
        <v>713</v>
      </c>
      <c r="G30" s="3" t="s">
        <v>23</v>
      </c>
      <c r="H30" s="3" t="s">
        <v>714</v>
      </c>
      <c r="I30" s="3" t="s">
        <v>260</v>
      </c>
    </row>
    <row r="31" spans="1:9" ht="16.899999999999999" thickBot="1">
      <c r="A31" s="3" t="s">
        <v>715</v>
      </c>
      <c r="B31" s="3">
        <v>3756</v>
      </c>
      <c r="C31" s="3">
        <v>96</v>
      </c>
      <c r="D31" s="3">
        <v>1920</v>
      </c>
      <c r="E31" s="3" t="s">
        <v>716</v>
      </c>
      <c r="F31" s="3" t="s">
        <v>717</v>
      </c>
      <c r="G31" s="3" t="s">
        <v>444</v>
      </c>
      <c r="H31" s="3" t="s">
        <v>718</v>
      </c>
      <c r="I31" s="3" t="s">
        <v>254</v>
      </c>
    </row>
    <row r="32" spans="1:9" ht="16.899999999999999" thickBot="1">
      <c r="A32" s="3" t="s">
        <v>719</v>
      </c>
      <c r="B32" s="3">
        <v>302</v>
      </c>
      <c r="C32" s="3">
        <v>24</v>
      </c>
      <c r="D32" s="3">
        <v>474</v>
      </c>
      <c r="E32" s="3" t="s">
        <v>720</v>
      </c>
      <c r="F32" s="3" t="s">
        <v>720</v>
      </c>
      <c r="G32" s="3" t="s">
        <v>23</v>
      </c>
      <c r="H32" s="3" t="s">
        <v>721</v>
      </c>
      <c r="I32" s="3" t="s">
        <v>722</v>
      </c>
    </row>
    <row r="33" spans="1:9" ht="16.899999999999999" thickBot="1">
      <c r="A33" s="3" t="s">
        <v>304</v>
      </c>
      <c r="B33" s="3">
        <v>735</v>
      </c>
      <c r="C33" s="3">
        <v>24</v>
      </c>
      <c r="D33" s="3">
        <v>474</v>
      </c>
      <c r="E33" s="3" t="s">
        <v>78</v>
      </c>
      <c r="F33" s="3" t="s">
        <v>23</v>
      </c>
      <c r="G33" s="3" t="s">
        <v>78</v>
      </c>
      <c r="H33" s="3" t="s">
        <v>23</v>
      </c>
      <c r="I33" s="3" t="s">
        <v>520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70B7-C951-42D2-B5C0-ECC6BF10B475}">
  <dimension ref="A1:I16"/>
  <sheetViews>
    <sheetView workbookViewId="0">
      <selection activeCell="A2" sqref="A2"/>
    </sheetView>
  </sheetViews>
  <sheetFormatPr defaultColWidth="34.85546875" defaultRowHeight="14.45"/>
  <cols>
    <col min="1" max="1" width="29.42578125" bestFit="1" customWidth="1"/>
    <col min="2" max="2" width="8.28515625" bestFit="1" customWidth="1"/>
    <col min="3" max="3" width="12.5703125" bestFit="1" customWidth="1"/>
    <col min="4" max="4" width="19" customWidth="1"/>
    <col min="5" max="5" width="15.42578125" bestFit="1" customWidth="1"/>
    <col min="6" max="6" width="22.85546875" customWidth="1"/>
    <col min="7" max="7" width="11.42578125" bestFit="1" customWidth="1"/>
    <col min="8" max="8" width="19.5703125" customWidth="1"/>
    <col min="9" max="9" width="8.28515625" bestFit="1" customWidth="1"/>
  </cols>
  <sheetData>
    <row r="1" spans="1:9" ht="53.4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899999999999999" thickBot="1">
      <c r="A2" s="3" t="s">
        <v>91</v>
      </c>
      <c r="B2" s="3">
        <v>1423</v>
      </c>
      <c r="C2" s="3">
        <v>20</v>
      </c>
      <c r="D2" s="3">
        <v>837</v>
      </c>
      <c r="E2" s="3" t="s">
        <v>723</v>
      </c>
      <c r="F2" s="3" t="s">
        <v>724</v>
      </c>
      <c r="G2" s="3" t="s">
        <v>199</v>
      </c>
      <c r="H2" s="3" t="s">
        <v>725</v>
      </c>
      <c r="I2" s="3" t="s">
        <v>343</v>
      </c>
    </row>
    <row r="3" spans="1:9" ht="16.899999999999999" thickBot="1">
      <c r="A3" s="3" t="s">
        <v>55</v>
      </c>
      <c r="B3" s="3">
        <v>1945</v>
      </c>
      <c r="C3" s="3">
        <v>23</v>
      </c>
      <c r="D3" s="3">
        <v>972</v>
      </c>
      <c r="E3" s="3" t="s">
        <v>726</v>
      </c>
      <c r="F3" s="3" t="s">
        <v>727</v>
      </c>
      <c r="G3" s="3" t="s">
        <v>728</v>
      </c>
      <c r="H3" s="3" t="s">
        <v>729</v>
      </c>
      <c r="I3" s="3" t="s">
        <v>730</v>
      </c>
    </row>
    <row r="4" spans="1:9" ht="16.899999999999999" thickBot="1">
      <c r="A4" s="3" t="s">
        <v>405</v>
      </c>
      <c r="B4" s="3">
        <v>1227</v>
      </c>
      <c r="C4" s="3">
        <v>19</v>
      </c>
      <c r="D4" s="3">
        <v>804</v>
      </c>
      <c r="E4" s="3" t="s">
        <v>731</v>
      </c>
      <c r="F4" s="3" t="s">
        <v>731</v>
      </c>
      <c r="G4" s="3" t="s">
        <v>23</v>
      </c>
      <c r="H4" s="3" t="s">
        <v>732</v>
      </c>
      <c r="I4" s="3" t="s">
        <v>733</v>
      </c>
    </row>
    <row r="5" spans="1:9" ht="16.899999999999999" thickBot="1">
      <c r="A5" s="3" t="s">
        <v>320</v>
      </c>
      <c r="B5" s="3">
        <v>1668</v>
      </c>
      <c r="C5" s="3">
        <v>23</v>
      </c>
      <c r="D5" s="3">
        <v>966</v>
      </c>
      <c r="E5" s="3" t="s">
        <v>734</v>
      </c>
      <c r="F5" s="3" t="s">
        <v>734</v>
      </c>
      <c r="G5" s="3" t="s">
        <v>23</v>
      </c>
      <c r="H5" s="3" t="s">
        <v>735</v>
      </c>
      <c r="I5" s="3" t="s">
        <v>736</v>
      </c>
    </row>
    <row r="6" spans="1:9" ht="16.899999999999999" thickBot="1">
      <c r="A6" s="3" t="s">
        <v>15</v>
      </c>
      <c r="B6" s="3">
        <v>606</v>
      </c>
      <c r="C6" s="3">
        <v>8</v>
      </c>
      <c r="D6" s="3">
        <v>333</v>
      </c>
      <c r="E6" s="3" t="s">
        <v>675</v>
      </c>
      <c r="F6" s="3" t="s">
        <v>675</v>
      </c>
      <c r="G6" s="3" t="s">
        <v>23</v>
      </c>
      <c r="H6" s="3" t="s">
        <v>737</v>
      </c>
      <c r="I6" s="3" t="s">
        <v>738</v>
      </c>
    </row>
    <row r="7" spans="1:9" ht="16.899999999999999" thickBot="1">
      <c r="A7" s="3" t="s">
        <v>21</v>
      </c>
      <c r="B7" s="3">
        <v>2435</v>
      </c>
      <c r="C7" s="3">
        <v>19</v>
      </c>
      <c r="D7" s="3">
        <v>801</v>
      </c>
      <c r="E7" s="3" t="s">
        <v>739</v>
      </c>
      <c r="F7" s="3" t="s">
        <v>740</v>
      </c>
      <c r="G7" s="3" t="s">
        <v>64</v>
      </c>
      <c r="H7" s="3" t="s">
        <v>741</v>
      </c>
      <c r="I7" s="3" t="s">
        <v>742</v>
      </c>
    </row>
    <row r="8" spans="1:9" ht="16.899999999999999" thickBot="1">
      <c r="A8" s="3" t="s">
        <v>26</v>
      </c>
      <c r="B8" s="3">
        <v>7381</v>
      </c>
      <c r="C8" s="3">
        <v>33</v>
      </c>
      <c r="D8" s="3">
        <v>1476</v>
      </c>
      <c r="E8" s="3" t="s">
        <v>743</v>
      </c>
      <c r="F8" s="3" t="s">
        <v>744</v>
      </c>
      <c r="G8" s="3" t="s">
        <v>151</v>
      </c>
      <c r="H8" s="3" t="s">
        <v>745</v>
      </c>
      <c r="I8" s="3" t="s">
        <v>746</v>
      </c>
    </row>
    <row r="9" spans="1:9" ht="16.899999999999999" thickBot="1">
      <c r="A9" s="3" t="s">
        <v>28</v>
      </c>
      <c r="B9" s="3">
        <v>3166</v>
      </c>
      <c r="C9" s="3">
        <v>21</v>
      </c>
      <c r="D9" s="3">
        <v>885</v>
      </c>
      <c r="E9" s="3" t="s">
        <v>588</v>
      </c>
      <c r="F9" s="3" t="s">
        <v>747</v>
      </c>
      <c r="G9" s="3" t="s">
        <v>75</v>
      </c>
      <c r="H9" s="3" t="s">
        <v>748</v>
      </c>
      <c r="I9" s="3" t="s">
        <v>749</v>
      </c>
    </row>
    <row r="10" spans="1:9" ht="16.899999999999999" thickBot="1">
      <c r="A10" s="3" t="s">
        <v>30</v>
      </c>
      <c r="B10" s="3">
        <v>2343</v>
      </c>
      <c r="C10" s="3">
        <v>29</v>
      </c>
      <c r="D10" s="3">
        <v>1224</v>
      </c>
      <c r="E10" s="3" t="s">
        <v>750</v>
      </c>
      <c r="F10" s="3" t="s">
        <v>751</v>
      </c>
      <c r="G10" s="3" t="s">
        <v>752</v>
      </c>
      <c r="H10" s="3" t="s">
        <v>753</v>
      </c>
      <c r="I10" s="3" t="s">
        <v>451</v>
      </c>
    </row>
    <row r="11" spans="1:9" ht="16.899999999999999" thickBot="1">
      <c r="A11" s="3" t="s">
        <v>36</v>
      </c>
      <c r="B11" s="3">
        <v>1406</v>
      </c>
      <c r="C11" s="3">
        <v>21</v>
      </c>
      <c r="D11" s="3">
        <v>885</v>
      </c>
      <c r="E11" s="3" t="s">
        <v>754</v>
      </c>
      <c r="F11" s="3" t="s">
        <v>755</v>
      </c>
      <c r="G11" s="3" t="s">
        <v>756</v>
      </c>
      <c r="H11" s="3" t="s">
        <v>757</v>
      </c>
      <c r="I11" s="3" t="s">
        <v>534</v>
      </c>
    </row>
    <row r="12" spans="1:9" ht="16.899999999999999" thickBot="1">
      <c r="A12" s="4" t="s">
        <v>758</v>
      </c>
      <c r="B12" s="4">
        <v>1169</v>
      </c>
      <c r="C12" s="4">
        <v>16</v>
      </c>
      <c r="D12" s="4">
        <v>657</v>
      </c>
      <c r="E12" s="4" t="s">
        <v>759</v>
      </c>
      <c r="F12" s="4" t="s">
        <v>759</v>
      </c>
      <c r="G12" s="4" t="s">
        <v>23</v>
      </c>
      <c r="H12" s="4" t="s">
        <v>760</v>
      </c>
      <c r="I12" s="4" t="s">
        <v>147</v>
      </c>
    </row>
    <row r="13" spans="1:9" ht="16.899999999999999" thickBot="1">
      <c r="A13" s="3" t="s">
        <v>84</v>
      </c>
      <c r="B13" s="3">
        <v>3577</v>
      </c>
      <c r="C13" s="3">
        <v>19</v>
      </c>
      <c r="D13" s="3">
        <v>840</v>
      </c>
      <c r="E13" s="3" t="s">
        <v>498</v>
      </c>
      <c r="F13" s="3" t="s">
        <v>385</v>
      </c>
      <c r="G13" s="3" t="s">
        <v>640</v>
      </c>
      <c r="H13" s="3" t="s">
        <v>386</v>
      </c>
      <c r="I13" s="3" t="s">
        <v>761</v>
      </c>
    </row>
    <row r="14" spans="1:9" ht="16.899999999999999" thickBot="1">
      <c r="A14" s="3" t="s">
        <v>43</v>
      </c>
      <c r="B14" s="3">
        <v>9045</v>
      </c>
      <c r="C14" s="3">
        <v>42</v>
      </c>
      <c r="D14" s="3">
        <v>1926</v>
      </c>
      <c r="E14" s="3" t="s">
        <v>762</v>
      </c>
      <c r="F14" s="3" t="s">
        <v>763</v>
      </c>
      <c r="G14" s="3" t="s">
        <v>764</v>
      </c>
      <c r="H14" s="3" t="s">
        <v>765</v>
      </c>
      <c r="I14" s="3" t="s">
        <v>612</v>
      </c>
    </row>
    <row r="15" spans="1:9" ht="16.899999999999999" thickBot="1">
      <c r="A15" s="4" t="s">
        <v>702</v>
      </c>
      <c r="B15" s="4">
        <v>2339</v>
      </c>
      <c r="C15" s="4">
        <v>46</v>
      </c>
      <c r="D15" s="4">
        <v>1926</v>
      </c>
      <c r="E15" s="4" t="s">
        <v>766</v>
      </c>
      <c r="F15" s="4" t="s">
        <v>767</v>
      </c>
      <c r="G15" s="4" t="s">
        <v>768</v>
      </c>
      <c r="H15" s="4" t="s">
        <v>769</v>
      </c>
      <c r="I15" s="4" t="s">
        <v>770</v>
      </c>
    </row>
    <row r="16" spans="1:9" ht="16.899999999999999" thickBot="1">
      <c r="A16" s="3" t="s">
        <v>49</v>
      </c>
      <c r="B16" s="3">
        <v>1782</v>
      </c>
      <c r="C16" s="3">
        <v>28</v>
      </c>
      <c r="D16" s="3">
        <v>1167</v>
      </c>
      <c r="E16" s="3" t="s">
        <v>771</v>
      </c>
      <c r="F16" s="3" t="s">
        <v>771</v>
      </c>
      <c r="G16" s="3" t="s">
        <v>23</v>
      </c>
      <c r="H16" s="3" t="s">
        <v>772</v>
      </c>
      <c r="I16" s="3" t="s">
        <v>773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CFE6-5CA9-44DC-B437-F5C33F6E734D}">
  <dimension ref="A1:AD45"/>
  <sheetViews>
    <sheetView topLeftCell="B1" workbookViewId="0">
      <selection activeCell="W25" sqref="W25"/>
    </sheetView>
  </sheetViews>
  <sheetFormatPr defaultColWidth="13.42578125" defaultRowHeight="14.45"/>
  <cols>
    <col min="1" max="1" width="17.28515625" bestFit="1" customWidth="1"/>
    <col min="2" max="2" width="6.7109375" bestFit="1" customWidth="1"/>
    <col min="3" max="3" width="5.28515625" bestFit="1" customWidth="1"/>
    <col min="4" max="4" width="9.140625" bestFit="1" customWidth="1"/>
    <col min="5" max="5" width="17.28515625" bestFit="1" customWidth="1"/>
    <col min="6" max="6" width="9.7109375" bestFit="1" customWidth="1"/>
    <col min="7" max="7" width="6.5703125" bestFit="1" customWidth="1"/>
    <col min="8" max="8" width="7.28515625" bestFit="1" customWidth="1"/>
    <col min="9" max="9" width="6.85546875" bestFit="1" customWidth="1"/>
    <col min="10" max="10" width="4.7109375" bestFit="1" customWidth="1"/>
    <col min="11" max="11" width="4.5703125" bestFit="1" customWidth="1"/>
    <col min="12" max="12" width="6.85546875" bestFit="1" customWidth="1"/>
    <col min="13" max="13" width="6.7109375" bestFit="1" customWidth="1"/>
    <col min="14" max="14" width="6.85546875" bestFit="1" customWidth="1"/>
    <col min="15" max="15" width="7.28515625" bestFit="1" customWidth="1"/>
    <col min="16" max="16" width="6.7109375" bestFit="1" customWidth="1"/>
    <col min="17" max="17" width="7.28515625" bestFit="1" customWidth="1"/>
    <col min="18" max="18" width="9.42578125" bestFit="1" customWidth="1"/>
    <col min="19" max="19" width="8.5703125" bestFit="1" customWidth="1"/>
    <col min="20" max="20" width="7.140625" bestFit="1" customWidth="1"/>
    <col min="21" max="21" width="7.28515625" bestFit="1" customWidth="1"/>
    <col min="22" max="22" width="6.85546875" bestFit="1" customWidth="1"/>
    <col min="23" max="23" width="8" bestFit="1" customWidth="1"/>
    <col min="24" max="24" width="7.7109375" bestFit="1" customWidth="1"/>
    <col min="25" max="25" width="6.28515625" bestFit="1" customWidth="1"/>
    <col min="26" max="26" width="6.7109375" bestFit="1" customWidth="1"/>
    <col min="27" max="27" width="7.7109375" bestFit="1" customWidth="1"/>
    <col min="28" max="29" width="8" bestFit="1" customWidth="1"/>
    <col min="30" max="30" width="7.7109375" bestFit="1" customWidth="1"/>
  </cols>
  <sheetData>
    <row r="1" spans="1:30" s="16" customFormat="1">
      <c r="B1" s="16" t="s">
        <v>774</v>
      </c>
      <c r="C1" s="16" t="s">
        <v>775</v>
      </c>
      <c r="D1" s="16" t="s">
        <v>776</v>
      </c>
      <c r="E1" s="16" t="s">
        <v>777</v>
      </c>
      <c r="F1" s="16" t="s">
        <v>778</v>
      </c>
      <c r="G1" s="16" t="s">
        <v>779</v>
      </c>
      <c r="H1" s="16" t="s">
        <v>780</v>
      </c>
      <c r="I1" s="16" t="s">
        <v>781</v>
      </c>
      <c r="J1" s="16" t="s">
        <v>782</v>
      </c>
      <c r="K1" s="16" t="s">
        <v>783</v>
      </c>
      <c r="L1" s="16" t="s">
        <v>784</v>
      </c>
      <c r="M1" s="16" t="s">
        <v>785</v>
      </c>
      <c r="N1" s="16" t="s">
        <v>786</v>
      </c>
      <c r="O1" s="16" t="s">
        <v>787</v>
      </c>
      <c r="P1" s="16" t="s">
        <v>788</v>
      </c>
      <c r="Q1" s="16" t="s">
        <v>789</v>
      </c>
      <c r="R1" s="16" t="s">
        <v>790</v>
      </c>
      <c r="S1" s="16" t="s">
        <v>791</v>
      </c>
      <c r="T1" s="16" t="s">
        <v>792</v>
      </c>
      <c r="U1" s="16" t="s">
        <v>793</v>
      </c>
      <c r="V1" s="16" t="s">
        <v>794</v>
      </c>
      <c r="W1" s="16" t="s">
        <v>795</v>
      </c>
      <c r="X1" s="16" t="s">
        <v>796</v>
      </c>
      <c r="Y1" s="16" t="s">
        <v>797</v>
      </c>
      <c r="Z1" s="16" t="s">
        <v>798</v>
      </c>
      <c r="AA1" s="16" t="s">
        <v>799</v>
      </c>
      <c r="AB1" s="16" t="s">
        <v>800</v>
      </c>
      <c r="AC1" s="16" t="s">
        <v>801</v>
      </c>
      <c r="AD1" s="16" t="s">
        <v>802</v>
      </c>
    </row>
    <row r="2" spans="1:30">
      <c r="A2">
        <v>1</v>
      </c>
      <c r="B2" s="17"/>
      <c r="C2" s="17"/>
      <c r="D2" s="17"/>
      <c r="E2" s="17"/>
      <c r="F2" s="17"/>
      <c r="G2" s="17"/>
      <c r="H2" s="17">
        <v>1</v>
      </c>
      <c r="I2" s="17"/>
      <c r="J2" s="17"/>
      <c r="K2" s="17"/>
      <c r="L2" s="17"/>
      <c r="M2" s="17">
        <v>1</v>
      </c>
      <c r="N2" s="17"/>
      <c r="O2" s="17">
        <v>1</v>
      </c>
      <c r="P2" s="17"/>
      <c r="Q2" s="17">
        <v>1</v>
      </c>
      <c r="R2" s="17">
        <v>1</v>
      </c>
      <c r="S2" s="17">
        <v>1</v>
      </c>
      <c r="T2" s="17">
        <v>1</v>
      </c>
      <c r="U2" s="17"/>
      <c r="V2" s="17"/>
      <c r="W2" s="17"/>
      <c r="X2" s="17"/>
      <c r="Y2" s="17">
        <v>1</v>
      </c>
      <c r="Z2" s="17"/>
      <c r="AA2" s="17"/>
      <c r="AB2" s="17"/>
      <c r="AC2" s="17">
        <v>1</v>
      </c>
      <c r="AD2" s="17">
        <v>1</v>
      </c>
    </row>
    <row r="3" spans="1:30">
      <c r="A3">
        <v>2</v>
      </c>
      <c r="B3" s="17"/>
      <c r="C3" s="17"/>
      <c r="D3" s="17">
        <v>1</v>
      </c>
      <c r="E3" s="17"/>
      <c r="F3" s="17"/>
      <c r="G3" s="17"/>
      <c r="H3" s="17">
        <v>1</v>
      </c>
      <c r="I3" s="17">
        <v>1</v>
      </c>
      <c r="J3" s="17">
        <v>1</v>
      </c>
      <c r="K3" s="17"/>
      <c r="L3" s="17"/>
      <c r="M3" s="17">
        <v>1</v>
      </c>
      <c r="N3" s="17"/>
      <c r="O3" s="17"/>
      <c r="P3" s="17"/>
      <c r="Q3" s="17">
        <v>1</v>
      </c>
      <c r="R3" s="17"/>
      <c r="S3" s="17">
        <v>1</v>
      </c>
      <c r="T3" s="17">
        <v>1</v>
      </c>
      <c r="U3" s="17"/>
      <c r="V3" s="17"/>
      <c r="W3" s="17"/>
      <c r="X3" s="17"/>
      <c r="Y3" s="17">
        <v>1</v>
      </c>
      <c r="Z3" s="17"/>
      <c r="AA3" s="17"/>
      <c r="AB3" s="17"/>
      <c r="AC3" s="17">
        <v>1</v>
      </c>
      <c r="AD3" s="17"/>
    </row>
    <row r="4" spans="1:30">
      <c r="A4">
        <v>3</v>
      </c>
      <c r="B4" s="17">
        <v>1</v>
      </c>
      <c r="C4" s="17">
        <v>1</v>
      </c>
      <c r="D4" s="17">
        <v>1</v>
      </c>
      <c r="E4" s="17">
        <v>1</v>
      </c>
      <c r="F4" s="17">
        <v>1</v>
      </c>
      <c r="G4" s="17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1</v>
      </c>
      <c r="Q4" s="17">
        <v>1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/>
      <c r="X4" s="17">
        <v>1</v>
      </c>
      <c r="Y4" s="17">
        <v>1</v>
      </c>
      <c r="Z4" s="17">
        <v>1</v>
      </c>
      <c r="AA4" s="17"/>
      <c r="AB4" s="17">
        <v>1</v>
      </c>
      <c r="AC4" s="17">
        <v>1</v>
      </c>
      <c r="AD4" s="17">
        <v>1</v>
      </c>
    </row>
    <row r="5" spans="1:30">
      <c r="A5">
        <v>4</v>
      </c>
      <c r="B5" s="17"/>
      <c r="C5" s="17"/>
      <c r="D5" s="17">
        <v>1</v>
      </c>
      <c r="E5" s="17"/>
      <c r="F5" s="17"/>
      <c r="G5" s="17"/>
      <c r="H5" s="17">
        <v>1</v>
      </c>
      <c r="I5" s="17"/>
      <c r="J5" s="17">
        <v>1</v>
      </c>
      <c r="K5" s="17"/>
      <c r="L5" s="17"/>
      <c r="M5" s="17">
        <v>1</v>
      </c>
      <c r="N5" s="17"/>
      <c r="O5" s="17">
        <v>1</v>
      </c>
      <c r="P5" s="17"/>
      <c r="Q5" s="17">
        <v>1</v>
      </c>
      <c r="R5" s="17">
        <v>1</v>
      </c>
      <c r="S5" s="17">
        <v>1</v>
      </c>
      <c r="T5" s="17">
        <v>1</v>
      </c>
      <c r="U5" s="17"/>
      <c r="V5" s="17"/>
      <c r="W5" s="17"/>
      <c r="X5" s="17"/>
      <c r="Y5" s="17">
        <v>1</v>
      </c>
      <c r="Z5" s="17"/>
      <c r="AA5" s="17"/>
      <c r="AB5" s="17"/>
      <c r="AC5" s="17">
        <v>1</v>
      </c>
      <c r="AD5" s="17"/>
    </row>
    <row r="6" spans="1:30">
      <c r="A6">
        <v>5</v>
      </c>
      <c r="B6" s="17"/>
      <c r="C6" s="17">
        <v>1</v>
      </c>
      <c r="D6" s="17">
        <v>1</v>
      </c>
      <c r="E6" s="17"/>
      <c r="F6" s="17"/>
      <c r="G6" s="17">
        <v>1</v>
      </c>
      <c r="H6" s="17">
        <v>1</v>
      </c>
      <c r="I6" s="17"/>
      <c r="J6" s="17">
        <v>1</v>
      </c>
      <c r="K6" s="17"/>
      <c r="L6" s="17">
        <v>1</v>
      </c>
      <c r="M6" s="17">
        <v>1</v>
      </c>
      <c r="N6" s="17"/>
      <c r="O6" s="17">
        <v>1</v>
      </c>
      <c r="P6" s="17">
        <v>1</v>
      </c>
      <c r="Q6" s="17">
        <v>1</v>
      </c>
      <c r="R6" s="17">
        <v>1</v>
      </c>
      <c r="S6" s="17">
        <v>1</v>
      </c>
      <c r="T6" s="17">
        <v>1</v>
      </c>
      <c r="U6" s="17"/>
      <c r="V6" s="17"/>
      <c r="W6" s="17"/>
      <c r="X6" s="17"/>
      <c r="Y6" s="17">
        <v>1</v>
      </c>
      <c r="Z6" s="17"/>
      <c r="AA6" s="17"/>
      <c r="AB6" s="17">
        <v>1</v>
      </c>
      <c r="AC6" s="17">
        <v>1</v>
      </c>
      <c r="AD6" s="17">
        <v>1</v>
      </c>
    </row>
    <row r="7" spans="1:30">
      <c r="A7">
        <v>6</v>
      </c>
      <c r="B7" s="17"/>
      <c r="C7" s="17"/>
      <c r="D7" s="17">
        <v>1</v>
      </c>
      <c r="E7" s="17"/>
      <c r="F7" s="17">
        <v>1</v>
      </c>
      <c r="G7" s="17"/>
      <c r="H7" s="17">
        <v>1</v>
      </c>
      <c r="I7" s="17">
        <v>1</v>
      </c>
      <c r="J7" s="17"/>
      <c r="K7" s="17">
        <v>1</v>
      </c>
      <c r="L7" s="17">
        <v>1</v>
      </c>
      <c r="M7" s="17">
        <v>1</v>
      </c>
      <c r="N7" s="17"/>
      <c r="O7" s="17"/>
      <c r="P7" s="17">
        <v>1</v>
      </c>
      <c r="Q7" s="17">
        <v>1</v>
      </c>
      <c r="R7" s="17"/>
      <c r="S7" s="17">
        <v>1</v>
      </c>
      <c r="T7" s="17">
        <v>1</v>
      </c>
      <c r="U7" s="17"/>
      <c r="V7" s="17"/>
      <c r="W7" s="17">
        <v>1</v>
      </c>
      <c r="X7" s="17">
        <v>1</v>
      </c>
      <c r="Y7" s="17">
        <v>1</v>
      </c>
      <c r="Z7" s="17"/>
      <c r="AA7" s="17"/>
      <c r="AB7" s="17"/>
      <c r="AC7" s="17">
        <v>1</v>
      </c>
      <c r="AD7" s="17">
        <v>1</v>
      </c>
    </row>
    <row r="8" spans="1:30">
      <c r="A8">
        <v>7</v>
      </c>
      <c r="B8" s="17"/>
      <c r="C8" s="17"/>
      <c r="D8" s="17">
        <v>1</v>
      </c>
      <c r="E8" s="17"/>
      <c r="F8" s="17"/>
      <c r="G8" s="17"/>
      <c r="H8" s="17">
        <v>1</v>
      </c>
      <c r="I8" s="17"/>
      <c r="J8" s="17">
        <v>1</v>
      </c>
      <c r="K8" s="17"/>
      <c r="L8" s="17"/>
      <c r="M8" s="17">
        <v>1</v>
      </c>
      <c r="N8" s="17"/>
      <c r="O8" s="17"/>
      <c r="P8" s="17"/>
      <c r="Q8" s="17">
        <v>1</v>
      </c>
      <c r="R8" s="17">
        <v>1</v>
      </c>
      <c r="S8" s="17">
        <v>1</v>
      </c>
      <c r="T8" s="17">
        <v>1</v>
      </c>
      <c r="U8" s="17"/>
      <c r="V8" s="17">
        <v>1</v>
      </c>
      <c r="W8" s="17"/>
      <c r="X8" s="17"/>
      <c r="Y8" s="17"/>
      <c r="Z8" s="17"/>
      <c r="AA8" s="17"/>
      <c r="AB8" s="17"/>
      <c r="AC8" s="17">
        <v>1</v>
      </c>
      <c r="AD8" s="17"/>
    </row>
    <row r="9" spans="1:30">
      <c r="A9">
        <v>8</v>
      </c>
      <c r="B9" s="17"/>
      <c r="C9" s="17"/>
      <c r="D9" s="17"/>
      <c r="E9" s="17"/>
      <c r="F9" s="17"/>
      <c r="G9" s="17"/>
      <c r="H9" s="17">
        <v>1</v>
      </c>
      <c r="I9" s="17"/>
      <c r="J9" s="17">
        <v>1</v>
      </c>
      <c r="K9" s="17"/>
      <c r="L9" s="17">
        <v>1</v>
      </c>
      <c r="M9" s="17">
        <v>1</v>
      </c>
      <c r="N9" s="17"/>
      <c r="O9" s="17"/>
      <c r="P9" s="17">
        <v>1</v>
      </c>
      <c r="Q9" s="17">
        <v>1</v>
      </c>
      <c r="R9" s="17"/>
      <c r="S9" s="17">
        <v>1</v>
      </c>
      <c r="T9" s="17">
        <v>1</v>
      </c>
      <c r="U9" s="17"/>
      <c r="V9" s="17"/>
      <c r="W9" s="17"/>
      <c r="X9" s="17"/>
      <c r="Y9" s="17"/>
      <c r="Z9" s="17"/>
      <c r="AA9" s="17"/>
      <c r="AB9" s="17"/>
      <c r="AC9" s="17">
        <v>1</v>
      </c>
      <c r="AD9" s="17">
        <v>1</v>
      </c>
    </row>
    <row r="10" spans="1:30">
      <c r="A10">
        <v>9</v>
      </c>
      <c r="B10" s="17"/>
      <c r="C10" s="17"/>
      <c r="D10" s="17"/>
      <c r="E10" s="17"/>
      <c r="F10" s="17">
        <v>1</v>
      </c>
      <c r="G10" s="17">
        <v>1</v>
      </c>
      <c r="H10" s="17">
        <v>1</v>
      </c>
      <c r="I10" s="17"/>
      <c r="J10" s="17">
        <v>1</v>
      </c>
      <c r="K10" s="17">
        <v>1</v>
      </c>
      <c r="L10" s="17"/>
      <c r="M10" s="17"/>
      <c r="N10" s="17"/>
      <c r="O10" s="17">
        <v>1</v>
      </c>
      <c r="P10" s="17">
        <v>1</v>
      </c>
      <c r="Q10" s="17">
        <v>1</v>
      </c>
      <c r="R10" s="17">
        <v>1</v>
      </c>
      <c r="S10" s="17">
        <v>1</v>
      </c>
      <c r="T10" s="17">
        <v>1</v>
      </c>
      <c r="U10" s="17">
        <v>1</v>
      </c>
      <c r="V10" s="17"/>
      <c r="W10" s="17"/>
      <c r="X10" s="17"/>
      <c r="Y10" s="17">
        <v>1</v>
      </c>
      <c r="Z10" s="17"/>
      <c r="AA10" s="17"/>
      <c r="AB10" s="17"/>
      <c r="AC10" s="17">
        <v>1</v>
      </c>
      <c r="AD10" s="17">
        <v>1</v>
      </c>
    </row>
    <row r="11" spans="1:30">
      <c r="A11">
        <v>10</v>
      </c>
      <c r="B11" s="17"/>
      <c r="C11" s="17"/>
      <c r="D11" s="17">
        <v>1</v>
      </c>
      <c r="E11" s="17"/>
      <c r="F11" s="17"/>
      <c r="G11" s="17"/>
      <c r="H11" s="17">
        <v>1</v>
      </c>
      <c r="I11" s="17">
        <v>1</v>
      </c>
      <c r="J11" s="17">
        <v>1</v>
      </c>
      <c r="K11" s="17"/>
      <c r="L11" s="17"/>
      <c r="M11" s="17">
        <v>1</v>
      </c>
      <c r="N11" s="17"/>
      <c r="O11" s="17"/>
      <c r="P11" s="17">
        <v>1</v>
      </c>
      <c r="Q11" s="17">
        <v>1</v>
      </c>
      <c r="R11" s="17"/>
      <c r="S11" s="17">
        <v>1</v>
      </c>
      <c r="T11" s="17">
        <v>1</v>
      </c>
      <c r="U11" s="17"/>
      <c r="V11" s="17"/>
      <c r="W11" s="17"/>
      <c r="X11" s="17"/>
      <c r="Y11" s="17">
        <v>1</v>
      </c>
      <c r="Z11" s="17"/>
      <c r="AA11" s="17"/>
      <c r="AB11" s="17"/>
      <c r="AC11" s="17">
        <v>1</v>
      </c>
      <c r="AD11" s="17">
        <v>1</v>
      </c>
    </row>
    <row r="12" spans="1:30">
      <c r="A12">
        <v>11</v>
      </c>
      <c r="B12" s="17">
        <v>1</v>
      </c>
      <c r="C12" s="17"/>
      <c r="D12" s="17">
        <v>1</v>
      </c>
      <c r="E12" s="17"/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1</v>
      </c>
      <c r="M12" s="17">
        <v>1</v>
      </c>
      <c r="N12" s="17">
        <v>1</v>
      </c>
      <c r="O12" s="17"/>
      <c r="P12" s="17">
        <v>1</v>
      </c>
      <c r="Q12" s="17">
        <v>1</v>
      </c>
      <c r="R12" s="17"/>
      <c r="S12" s="17">
        <v>1</v>
      </c>
      <c r="T12" s="17">
        <v>1</v>
      </c>
      <c r="U12" s="17"/>
      <c r="V12" s="17">
        <v>1</v>
      </c>
      <c r="W12" s="17">
        <v>1</v>
      </c>
      <c r="X12" s="17">
        <v>1</v>
      </c>
      <c r="Y12" s="17">
        <v>1</v>
      </c>
      <c r="Z12" s="17"/>
      <c r="AA12" s="17">
        <v>1</v>
      </c>
      <c r="AB12" s="17">
        <v>1</v>
      </c>
      <c r="AC12" s="17">
        <v>1</v>
      </c>
      <c r="AD12" s="17">
        <v>1</v>
      </c>
    </row>
    <row r="13" spans="1:30">
      <c r="A13">
        <v>12</v>
      </c>
      <c r="B13" s="17"/>
      <c r="C13" s="17"/>
      <c r="D13" s="17">
        <v>1</v>
      </c>
      <c r="E13" s="17"/>
      <c r="F13" s="17">
        <v>1</v>
      </c>
      <c r="G13" s="17">
        <v>1</v>
      </c>
      <c r="H13" s="17"/>
      <c r="I13" s="17"/>
      <c r="J13" s="17">
        <v>1</v>
      </c>
      <c r="K13" s="17"/>
      <c r="L13" s="17"/>
      <c r="M13" s="17">
        <v>1</v>
      </c>
      <c r="N13" s="17"/>
      <c r="O13" s="17">
        <v>1</v>
      </c>
      <c r="P13" s="17"/>
      <c r="Q13" s="17">
        <v>1</v>
      </c>
      <c r="R13" s="17">
        <v>1</v>
      </c>
      <c r="S13" s="17">
        <v>1</v>
      </c>
      <c r="T13" s="17">
        <v>1</v>
      </c>
      <c r="U13" s="17"/>
      <c r="V13" s="17"/>
      <c r="W13" s="17"/>
      <c r="X13" s="17"/>
      <c r="Y13" s="17">
        <v>1</v>
      </c>
      <c r="Z13" s="17"/>
      <c r="AA13" s="17"/>
      <c r="AB13" s="17"/>
      <c r="AC13" s="17">
        <v>1</v>
      </c>
      <c r="AD13" s="17">
        <v>1</v>
      </c>
    </row>
    <row r="16" spans="1:30">
      <c r="A16" s="16"/>
      <c r="B16" s="16">
        <v>1</v>
      </c>
      <c r="C16" s="16">
        <v>2</v>
      </c>
      <c r="D16" s="16">
        <v>3</v>
      </c>
      <c r="E16" s="16">
        <v>4</v>
      </c>
      <c r="F16" s="16">
        <v>5</v>
      </c>
      <c r="G16" s="16">
        <v>6</v>
      </c>
      <c r="H16" s="16">
        <v>7</v>
      </c>
      <c r="I16" s="16">
        <v>8</v>
      </c>
      <c r="J16" s="16">
        <v>9</v>
      </c>
      <c r="K16" s="16">
        <v>10</v>
      </c>
      <c r="L16" s="16">
        <v>11</v>
      </c>
      <c r="M16" s="16">
        <v>12</v>
      </c>
    </row>
    <row r="17" spans="1:13">
      <c r="A17" s="16" t="s">
        <v>774</v>
      </c>
      <c r="B17" s="18"/>
      <c r="C17" s="18"/>
      <c r="D17" s="18">
        <v>1</v>
      </c>
      <c r="E17" s="18"/>
      <c r="F17" s="18"/>
      <c r="G17" s="18"/>
      <c r="H17" s="18"/>
      <c r="I17" s="18"/>
      <c r="J17" s="18"/>
      <c r="K17" s="18"/>
      <c r="L17" s="18">
        <v>1</v>
      </c>
      <c r="M17" s="18"/>
    </row>
    <row r="18" spans="1:13">
      <c r="A18" s="16" t="s">
        <v>775</v>
      </c>
      <c r="B18" s="18"/>
      <c r="C18" s="18"/>
      <c r="D18" s="18">
        <v>1</v>
      </c>
      <c r="E18" s="18"/>
      <c r="F18" s="18">
        <v>1</v>
      </c>
      <c r="G18" s="18"/>
      <c r="H18" s="18"/>
      <c r="I18" s="18"/>
      <c r="J18" s="18"/>
      <c r="K18" s="18"/>
      <c r="L18" s="18"/>
      <c r="M18" s="18"/>
    </row>
    <row r="19" spans="1:13">
      <c r="A19" s="16" t="s">
        <v>776</v>
      </c>
      <c r="B19" s="18"/>
      <c r="C19" s="18">
        <v>1</v>
      </c>
      <c r="D19" s="18">
        <v>1</v>
      </c>
      <c r="E19" s="18">
        <v>1</v>
      </c>
      <c r="F19" s="18">
        <v>1</v>
      </c>
      <c r="G19" s="18">
        <v>1</v>
      </c>
      <c r="H19" s="18">
        <v>1</v>
      </c>
      <c r="I19" s="18"/>
      <c r="J19" s="18"/>
      <c r="K19" s="18">
        <v>1</v>
      </c>
      <c r="L19" s="18">
        <v>1</v>
      </c>
      <c r="M19" s="18">
        <v>1</v>
      </c>
    </row>
    <row r="20" spans="1:13">
      <c r="A20" s="16" t="s">
        <v>777</v>
      </c>
      <c r="B20" s="18"/>
      <c r="C20" s="18"/>
      <c r="D20" s="18">
        <v>1</v>
      </c>
      <c r="E20" s="18"/>
      <c r="F20" s="18"/>
      <c r="G20" s="18"/>
      <c r="H20" s="18"/>
      <c r="I20" s="18"/>
      <c r="J20" s="18"/>
      <c r="K20" s="18"/>
      <c r="L20" s="18"/>
      <c r="M20" s="18"/>
    </row>
    <row r="21" spans="1:13">
      <c r="A21" s="16" t="s">
        <v>778</v>
      </c>
      <c r="B21" s="18"/>
      <c r="C21" s="18"/>
      <c r="D21" s="18">
        <v>1</v>
      </c>
      <c r="E21" s="18"/>
      <c r="F21" s="18"/>
      <c r="G21" s="18">
        <v>1</v>
      </c>
      <c r="H21" s="18"/>
      <c r="I21" s="18"/>
      <c r="J21" s="18">
        <v>1</v>
      </c>
      <c r="K21" s="18"/>
      <c r="L21" s="18">
        <v>1</v>
      </c>
      <c r="M21" s="18">
        <v>1</v>
      </c>
    </row>
    <row r="22" spans="1:13">
      <c r="A22" s="16" t="s">
        <v>779</v>
      </c>
      <c r="B22" s="18"/>
      <c r="C22" s="18"/>
      <c r="D22" s="18">
        <v>1</v>
      </c>
      <c r="E22" s="18"/>
      <c r="F22" s="18">
        <v>1</v>
      </c>
      <c r="G22" s="18"/>
      <c r="H22" s="18"/>
      <c r="I22" s="18"/>
      <c r="J22" s="18">
        <v>1</v>
      </c>
      <c r="K22" s="18"/>
      <c r="L22" s="18">
        <v>1</v>
      </c>
      <c r="M22" s="18">
        <v>1</v>
      </c>
    </row>
    <row r="23" spans="1:13">
      <c r="A23" s="16" t="s">
        <v>780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/>
    </row>
    <row r="24" spans="1:13">
      <c r="A24" s="16" t="s">
        <v>781</v>
      </c>
      <c r="B24" s="18"/>
      <c r="C24" s="18">
        <v>1</v>
      </c>
      <c r="D24" s="18">
        <v>1</v>
      </c>
      <c r="E24" s="18"/>
      <c r="F24" s="18"/>
      <c r="G24" s="18">
        <v>1</v>
      </c>
      <c r="H24" s="18"/>
      <c r="I24" s="18"/>
      <c r="J24" s="18"/>
      <c r="K24" s="18">
        <v>1</v>
      </c>
      <c r="L24" s="18">
        <v>1</v>
      </c>
      <c r="M24" s="18"/>
    </row>
    <row r="25" spans="1:13">
      <c r="A25" s="16" t="s">
        <v>782</v>
      </c>
      <c r="B25" s="18"/>
      <c r="C25" s="18">
        <v>1</v>
      </c>
      <c r="D25" s="18">
        <v>1</v>
      </c>
      <c r="E25" s="18">
        <v>1</v>
      </c>
      <c r="F25" s="18">
        <v>1</v>
      </c>
      <c r="G25" s="18"/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</row>
    <row r="26" spans="1:13">
      <c r="A26" s="16" t="s">
        <v>783</v>
      </c>
      <c r="B26" s="18"/>
      <c r="C26" s="18"/>
      <c r="D26" s="18">
        <v>1</v>
      </c>
      <c r="E26" s="18"/>
      <c r="F26" s="18"/>
      <c r="G26" s="18">
        <v>1</v>
      </c>
      <c r="H26" s="18"/>
      <c r="I26" s="18"/>
      <c r="J26" s="18">
        <v>1</v>
      </c>
      <c r="K26" s="18"/>
      <c r="L26" s="18">
        <v>1</v>
      </c>
      <c r="M26" s="18"/>
    </row>
    <row r="27" spans="1:13">
      <c r="A27" s="16" t="s">
        <v>784</v>
      </c>
      <c r="B27" s="18"/>
      <c r="C27" s="18"/>
      <c r="D27" s="18">
        <v>1</v>
      </c>
      <c r="E27" s="18"/>
      <c r="F27" s="18">
        <v>1</v>
      </c>
      <c r="G27" s="18">
        <v>1</v>
      </c>
      <c r="H27" s="18"/>
      <c r="I27" s="18">
        <v>1</v>
      </c>
      <c r="J27" s="18"/>
      <c r="K27" s="18"/>
      <c r="L27" s="18">
        <v>1</v>
      </c>
      <c r="M27" s="18"/>
    </row>
    <row r="28" spans="1:13">
      <c r="A28" s="16" t="s">
        <v>785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/>
      <c r="K28" s="18">
        <v>1</v>
      </c>
      <c r="L28" s="18">
        <v>1</v>
      </c>
      <c r="M28" s="18">
        <v>1</v>
      </c>
    </row>
    <row r="29" spans="1:13">
      <c r="A29" s="16" t="s">
        <v>786</v>
      </c>
      <c r="B29" s="18"/>
      <c r="C29" s="18"/>
      <c r="D29" s="18">
        <v>1</v>
      </c>
      <c r="E29" s="18"/>
      <c r="F29" s="18"/>
      <c r="G29" s="18"/>
      <c r="H29" s="18"/>
      <c r="I29" s="18"/>
      <c r="J29" s="18"/>
      <c r="K29" s="18"/>
      <c r="L29" s="18">
        <v>1</v>
      </c>
      <c r="M29" s="18"/>
    </row>
    <row r="30" spans="1:13">
      <c r="A30" s="16" t="s">
        <v>787</v>
      </c>
      <c r="B30" s="18">
        <v>1</v>
      </c>
      <c r="C30" s="18"/>
      <c r="D30" s="18">
        <v>1</v>
      </c>
      <c r="E30" s="18">
        <v>1</v>
      </c>
      <c r="F30" s="18">
        <v>1</v>
      </c>
      <c r="G30" s="18"/>
      <c r="H30" s="18"/>
      <c r="I30" s="18"/>
      <c r="J30" s="18">
        <v>1</v>
      </c>
      <c r="K30" s="18"/>
      <c r="L30" s="18"/>
      <c r="M30" s="18">
        <v>1</v>
      </c>
    </row>
    <row r="31" spans="1:13">
      <c r="A31" s="16" t="s">
        <v>788</v>
      </c>
      <c r="B31" s="18"/>
      <c r="C31" s="18"/>
      <c r="D31" s="18">
        <v>1</v>
      </c>
      <c r="E31" s="18"/>
      <c r="F31" s="18">
        <v>1</v>
      </c>
      <c r="G31" s="18">
        <v>1</v>
      </c>
      <c r="H31" s="18"/>
      <c r="I31" s="18">
        <v>1</v>
      </c>
      <c r="J31" s="18">
        <v>1</v>
      </c>
      <c r="K31" s="18">
        <v>1</v>
      </c>
      <c r="L31" s="18">
        <v>1</v>
      </c>
      <c r="M31" s="18"/>
    </row>
    <row r="32" spans="1:13">
      <c r="A32" s="16" t="s">
        <v>789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</row>
    <row r="33" spans="1:13">
      <c r="A33" s="16" t="s">
        <v>790</v>
      </c>
      <c r="B33" s="18">
        <v>1</v>
      </c>
      <c r="C33" s="18"/>
      <c r="D33" s="18">
        <v>1</v>
      </c>
      <c r="E33" s="18">
        <v>1</v>
      </c>
      <c r="F33" s="18">
        <v>1</v>
      </c>
      <c r="G33" s="18"/>
      <c r="H33" s="18">
        <v>1</v>
      </c>
      <c r="I33" s="18"/>
      <c r="J33" s="18">
        <v>1</v>
      </c>
      <c r="K33" s="18"/>
      <c r="L33" s="18"/>
      <c r="M33" s="18">
        <v>1</v>
      </c>
    </row>
    <row r="34" spans="1:13">
      <c r="A34" s="16" t="s">
        <v>791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</row>
    <row r="35" spans="1:13">
      <c r="A35" s="16" t="s">
        <v>792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</row>
    <row r="36" spans="1:13">
      <c r="A36" s="16" t="s">
        <v>793</v>
      </c>
      <c r="B36" s="18"/>
      <c r="C36" s="18"/>
      <c r="D36" s="18">
        <v>1</v>
      </c>
      <c r="E36" s="18"/>
      <c r="F36" s="18"/>
      <c r="G36" s="18"/>
      <c r="H36" s="18"/>
      <c r="I36" s="18"/>
      <c r="J36" s="18">
        <v>1</v>
      </c>
      <c r="K36" s="18"/>
      <c r="L36" s="18"/>
      <c r="M36" s="18"/>
    </row>
    <row r="37" spans="1:13">
      <c r="A37" s="16" t="s">
        <v>794</v>
      </c>
      <c r="B37" s="18"/>
      <c r="C37" s="18"/>
      <c r="D37" s="18">
        <v>1</v>
      </c>
      <c r="E37" s="18"/>
      <c r="F37" s="18"/>
      <c r="G37" s="18"/>
      <c r="H37" s="18">
        <v>1</v>
      </c>
      <c r="I37" s="18"/>
      <c r="J37" s="18"/>
      <c r="K37" s="18"/>
      <c r="L37" s="18">
        <v>1</v>
      </c>
      <c r="M37" s="18"/>
    </row>
    <row r="38" spans="1:13">
      <c r="A38" s="16" t="s">
        <v>795</v>
      </c>
      <c r="B38" s="18"/>
      <c r="C38" s="18"/>
      <c r="D38" s="18"/>
      <c r="E38" s="18"/>
      <c r="F38" s="18"/>
      <c r="G38" s="18">
        <v>1</v>
      </c>
      <c r="H38" s="18"/>
      <c r="I38" s="18"/>
      <c r="J38" s="18"/>
      <c r="K38" s="18"/>
      <c r="L38" s="18">
        <v>1</v>
      </c>
      <c r="M38" s="18"/>
    </row>
    <row r="39" spans="1:13">
      <c r="A39" s="16" t="s">
        <v>796</v>
      </c>
      <c r="B39" s="18"/>
      <c r="C39" s="18"/>
      <c r="D39" s="18">
        <v>1</v>
      </c>
      <c r="E39" s="18"/>
      <c r="F39" s="18"/>
      <c r="G39" s="18">
        <v>1</v>
      </c>
      <c r="H39" s="18"/>
      <c r="I39" s="18"/>
      <c r="J39" s="18"/>
      <c r="K39" s="18"/>
      <c r="L39" s="18">
        <v>1</v>
      </c>
      <c r="M39" s="18"/>
    </row>
    <row r="40" spans="1:13">
      <c r="A40" s="16" t="s">
        <v>797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/>
      <c r="I40" s="18"/>
      <c r="J40" s="18">
        <v>1</v>
      </c>
      <c r="K40" s="18">
        <v>1</v>
      </c>
      <c r="L40" s="18">
        <v>1</v>
      </c>
      <c r="M40" s="18">
        <v>1</v>
      </c>
    </row>
    <row r="41" spans="1:13">
      <c r="A41" s="16" t="s">
        <v>798</v>
      </c>
      <c r="B41" s="18"/>
      <c r="C41" s="18"/>
      <c r="D41" s="18">
        <v>1</v>
      </c>
      <c r="E41" s="18"/>
      <c r="F41" s="18"/>
      <c r="G41" s="18"/>
      <c r="H41" s="18"/>
      <c r="I41" s="18"/>
      <c r="J41" s="18"/>
      <c r="K41" s="18"/>
      <c r="L41" s="18"/>
      <c r="M41" s="18"/>
    </row>
    <row r="42" spans="1:13">
      <c r="A42" s="16" t="s">
        <v>799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>
        <v>1</v>
      </c>
      <c r="M42" s="18"/>
    </row>
    <row r="43" spans="1:13">
      <c r="A43" s="16" t="s">
        <v>800</v>
      </c>
      <c r="B43" s="18"/>
      <c r="C43" s="18"/>
      <c r="D43" s="18">
        <v>1</v>
      </c>
      <c r="E43" s="18"/>
      <c r="F43" s="18">
        <v>1</v>
      </c>
      <c r="G43" s="18"/>
      <c r="H43" s="18"/>
      <c r="I43" s="18"/>
      <c r="J43" s="18"/>
      <c r="K43" s="18"/>
      <c r="L43" s="18">
        <v>1</v>
      </c>
      <c r="M43" s="18"/>
    </row>
    <row r="44" spans="1:13">
      <c r="A44" s="16" t="s">
        <v>801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</row>
    <row r="45" spans="1:13">
      <c r="A45" s="16" t="s">
        <v>802</v>
      </c>
      <c r="B45" s="18">
        <v>1</v>
      </c>
      <c r="C45" s="18"/>
      <c r="D45" s="18">
        <v>1</v>
      </c>
      <c r="E45" s="18"/>
      <c r="F45" s="18">
        <v>1</v>
      </c>
      <c r="G45" s="18">
        <v>1</v>
      </c>
      <c r="H45" s="18"/>
      <c r="I45" s="18">
        <v>1</v>
      </c>
      <c r="J45" s="18">
        <v>1</v>
      </c>
      <c r="K45" s="18">
        <v>1</v>
      </c>
      <c r="L45" s="18">
        <v>1</v>
      </c>
      <c r="M45" s="1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7F92-F091-4849-956E-A536E27A425A}">
  <dimension ref="A1:M59"/>
  <sheetViews>
    <sheetView tabSelected="1" topLeftCell="A45" workbookViewId="0">
      <selection activeCell="D60" sqref="D60"/>
    </sheetView>
  </sheetViews>
  <sheetFormatPr defaultRowHeight="14.45"/>
  <cols>
    <col min="1" max="1" width="19.28515625" bestFit="1" customWidth="1"/>
    <col min="2" max="3" width="22.28515625" bestFit="1" customWidth="1"/>
    <col min="4" max="4" width="29.5703125" bestFit="1" customWidth="1"/>
    <col min="5" max="5" width="22.28515625" bestFit="1" customWidth="1"/>
    <col min="6" max="6" width="22.42578125" bestFit="1" customWidth="1"/>
    <col min="7" max="8" width="21.7109375" bestFit="1" customWidth="1"/>
    <col min="9" max="9" width="18" bestFit="1" customWidth="1"/>
    <col min="10" max="11" width="21.7109375" bestFit="1" customWidth="1"/>
    <col min="12" max="12" width="21.42578125" bestFit="1" customWidth="1"/>
    <col min="13" max="13" width="19.7109375" bestFit="1" customWidth="1"/>
  </cols>
  <sheetData>
    <row r="1" spans="1:13" s="7" customFormat="1" ht="53.45" customHeight="1">
      <c r="B1" s="7" t="s">
        <v>803</v>
      </c>
      <c r="C1" s="7" t="s">
        <v>804</v>
      </c>
      <c r="D1" s="7" t="s">
        <v>805</v>
      </c>
      <c r="E1" s="7" t="s">
        <v>806</v>
      </c>
      <c r="F1" s="7" t="s">
        <v>807</v>
      </c>
      <c r="G1" s="7" t="s">
        <v>808</v>
      </c>
      <c r="H1" s="7" t="s">
        <v>809</v>
      </c>
      <c r="I1" s="7" t="s">
        <v>810</v>
      </c>
      <c r="J1" s="7" t="s">
        <v>811</v>
      </c>
      <c r="K1" s="7" t="s">
        <v>812</v>
      </c>
      <c r="L1" s="7" t="s">
        <v>813</v>
      </c>
      <c r="M1" s="7" t="s">
        <v>814</v>
      </c>
    </row>
    <row r="2" spans="1:13">
      <c r="A2" s="19" t="s">
        <v>815</v>
      </c>
      <c r="B2" t="s">
        <v>780</v>
      </c>
      <c r="C2" t="s">
        <v>816</v>
      </c>
      <c r="D2" t="s">
        <v>817</v>
      </c>
      <c r="E2" t="s">
        <v>816</v>
      </c>
      <c r="F2" t="s">
        <v>817</v>
      </c>
      <c r="G2" t="s">
        <v>816</v>
      </c>
      <c r="H2" t="s">
        <v>816</v>
      </c>
      <c r="I2" t="s">
        <v>818</v>
      </c>
      <c r="J2" t="s">
        <v>817</v>
      </c>
      <c r="K2" t="s">
        <v>816</v>
      </c>
      <c r="L2" t="s">
        <v>817</v>
      </c>
      <c r="M2" t="s">
        <v>817</v>
      </c>
    </row>
    <row r="3" spans="1:13">
      <c r="A3" s="19"/>
      <c r="B3" t="s">
        <v>819</v>
      </c>
      <c r="C3" t="s">
        <v>820</v>
      </c>
      <c r="D3" t="s">
        <v>816</v>
      </c>
      <c r="E3" t="s">
        <v>820</v>
      </c>
      <c r="F3" t="s">
        <v>816</v>
      </c>
      <c r="G3" t="s">
        <v>821</v>
      </c>
      <c r="H3" t="s">
        <v>820</v>
      </c>
      <c r="I3" t="s">
        <v>822</v>
      </c>
      <c r="J3" t="s">
        <v>823</v>
      </c>
      <c r="K3" t="s">
        <v>824</v>
      </c>
      <c r="L3" t="s">
        <v>823</v>
      </c>
      <c r="M3" t="s">
        <v>816</v>
      </c>
    </row>
    <row r="4" spans="1:13">
      <c r="A4" s="19"/>
      <c r="B4" t="s">
        <v>825</v>
      </c>
      <c r="C4" t="s">
        <v>824</v>
      </c>
      <c r="D4" t="s">
        <v>826</v>
      </c>
      <c r="E4" t="s">
        <v>818</v>
      </c>
      <c r="F4" t="s">
        <v>827</v>
      </c>
      <c r="G4" t="s">
        <v>820</v>
      </c>
      <c r="H4" t="s">
        <v>828</v>
      </c>
      <c r="I4" t="s">
        <v>819</v>
      </c>
      <c r="J4" t="s">
        <v>820</v>
      </c>
      <c r="K4" t="s">
        <v>829</v>
      </c>
      <c r="L4" t="s">
        <v>830</v>
      </c>
      <c r="M4" t="s">
        <v>821</v>
      </c>
    </row>
    <row r="5" spans="1:13">
      <c r="A5" s="19"/>
      <c r="B5" t="s">
        <v>831</v>
      </c>
      <c r="C5" t="s">
        <v>818</v>
      </c>
      <c r="D5" t="s">
        <v>832</v>
      </c>
      <c r="E5" t="s">
        <v>828</v>
      </c>
      <c r="F5" t="s">
        <v>820</v>
      </c>
      <c r="G5" t="s">
        <v>833</v>
      </c>
      <c r="H5" t="s">
        <v>819</v>
      </c>
      <c r="I5" t="s">
        <v>834</v>
      </c>
      <c r="J5" t="s">
        <v>835</v>
      </c>
      <c r="K5" t="s">
        <v>836</v>
      </c>
      <c r="L5" t="s">
        <v>837</v>
      </c>
      <c r="M5" t="s">
        <v>828</v>
      </c>
    </row>
    <row r="6" spans="1:13">
      <c r="A6" s="19"/>
      <c r="B6" t="s">
        <v>838</v>
      </c>
      <c r="C6" t="s">
        <v>836</v>
      </c>
      <c r="D6" t="s">
        <v>839</v>
      </c>
      <c r="E6" t="s">
        <v>819</v>
      </c>
      <c r="F6" t="s">
        <v>818</v>
      </c>
      <c r="G6" t="s">
        <v>818</v>
      </c>
      <c r="H6" t="s">
        <v>840</v>
      </c>
      <c r="I6" t="s">
        <v>825</v>
      </c>
      <c r="J6" t="s">
        <v>841</v>
      </c>
      <c r="K6" t="s">
        <v>822</v>
      </c>
      <c r="L6" t="s">
        <v>816</v>
      </c>
      <c r="M6" t="s">
        <v>819</v>
      </c>
    </row>
    <row r="7" spans="1:13">
      <c r="A7" s="19"/>
      <c r="B7" t="s">
        <v>842</v>
      </c>
      <c r="C7" t="s">
        <v>843</v>
      </c>
      <c r="D7" t="s">
        <v>844</v>
      </c>
      <c r="E7" t="s">
        <v>825</v>
      </c>
      <c r="F7" t="s">
        <v>845</v>
      </c>
      <c r="G7" t="s">
        <v>836</v>
      </c>
      <c r="H7" t="s">
        <v>825</v>
      </c>
      <c r="I7" t="s">
        <v>831</v>
      </c>
      <c r="J7" t="s">
        <v>819</v>
      </c>
      <c r="K7" t="s">
        <v>819</v>
      </c>
      <c r="L7" t="s">
        <v>846</v>
      </c>
      <c r="M7" t="s">
        <v>825</v>
      </c>
    </row>
    <row r="8" spans="1:13">
      <c r="A8" s="19"/>
      <c r="B8" t="s">
        <v>847</v>
      </c>
      <c r="C8" t="s">
        <v>819</v>
      </c>
      <c r="D8" t="s">
        <v>848</v>
      </c>
      <c r="E8" t="s">
        <v>831</v>
      </c>
      <c r="F8" t="s">
        <v>828</v>
      </c>
      <c r="G8" t="s">
        <v>822</v>
      </c>
      <c r="H8" t="s">
        <v>831</v>
      </c>
      <c r="I8" t="s">
        <v>849</v>
      </c>
      <c r="J8" t="s">
        <v>850</v>
      </c>
      <c r="K8" t="s">
        <v>825</v>
      </c>
      <c r="L8" t="s">
        <v>851</v>
      </c>
      <c r="M8" t="s">
        <v>831</v>
      </c>
    </row>
    <row r="9" spans="1:13">
      <c r="A9" s="19"/>
      <c r="B9" t="s">
        <v>852</v>
      </c>
      <c r="C9" t="s">
        <v>825</v>
      </c>
      <c r="D9" t="s">
        <v>853</v>
      </c>
      <c r="E9" t="s">
        <v>838</v>
      </c>
      <c r="F9" t="s">
        <v>819</v>
      </c>
      <c r="G9" t="s">
        <v>854</v>
      </c>
      <c r="H9" t="s">
        <v>838</v>
      </c>
      <c r="I9" t="s">
        <v>838</v>
      </c>
      <c r="J9" t="s">
        <v>831</v>
      </c>
      <c r="K9" t="s">
        <v>831</v>
      </c>
      <c r="L9" t="s">
        <v>818</v>
      </c>
      <c r="M9" t="s">
        <v>838</v>
      </c>
    </row>
    <row r="10" spans="1:13">
      <c r="A10" s="19"/>
      <c r="B10" t="s">
        <v>855</v>
      </c>
      <c r="C10" t="s">
        <v>831</v>
      </c>
      <c r="D10" t="s">
        <v>853</v>
      </c>
      <c r="E10" t="s">
        <v>842</v>
      </c>
      <c r="F10" t="s">
        <v>856</v>
      </c>
      <c r="G10" t="s">
        <v>819</v>
      </c>
      <c r="H10" t="s">
        <v>847</v>
      </c>
      <c r="I10" t="s">
        <v>855</v>
      </c>
      <c r="J10" t="s">
        <v>849</v>
      </c>
      <c r="K10" t="s">
        <v>849</v>
      </c>
      <c r="L10" t="s">
        <v>836</v>
      </c>
      <c r="M10" t="s">
        <v>842</v>
      </c>
    </row>
    <row r="11" spans="1:13">
      <c r="A11" s="19"/>
      <c r="B11" t="s">
        <v>857</v>
      </c>
      <c r="C11" t="s">
        <v>838</v>
      </c>
      <c r="D11" t="s">
        <v>820</v>
      </c>
      <c r="E11" t="s">
        <v>847</v>
      </c>
      <c r="F11" t="s">
        <v>825</v>
      </c>
      <c r="G11" t="s">
        <v>834</v>
      </c>
      <c r="H11" t="s">
        <v>855</v>
      </c>
      <c r="I11" t="s">
        <v>857</v>
      </c>
      <c r="J11" t="s">
        <v>838</v>
      </c>
      <c r="K11" t="s">
        <v>838</v>
      </c>
      <c r="L11" t="s">
        <v>822</v>
      </c>
      <c r="M11" t="s">
        <v>847</v>
      </c>
    </row>
    <row r="12" spans="1:13">
      <c r="A12" s="19"/>
      <c r="C12" t="s">
        <v>858</v>
      </c>
      <c r="D12" t="s">
        <v>859</v>
      </c>
      <c r="E12" t="s">
        <v>860</v>
      </c>
      <c r="F12" t="s">
        <v>831</v>
      </c>
      <c r="G12" t="s">
        <v>825</v>
      </c>
      <c r="J12" t="s">
        <v>842</v>
      </c>
      <c r="K12" t="s">
        <v>858</v>
      </c>
      <c r="L12" t="s">
        <v>861</v>
      </c>
      <c r="M12" t="s">
        <v>862</v>
      </c>
    </row>
    <row r="13" spans="1:13">
      <c r="A13" s="19"/>
      <c r="C13" t="s">
        <v>855</v>
      </c>
      <c r="D13" t="s">
        <v>863</v>
      </c>
      <c r="E13" t="s">
        <v>855</v>
      </c>
      <c r="F13" t="s">
        <v>849</v>
      </c>
      <c r="G13" t="s">
        <v>831</v>
      </c>
      <c r="J13" t="s">
        <v>847</v>
      </c>
      <c r="K13" t="s">
        <v>855</v>
      </c>
      <c r="L13" t="s">
        <v>819</v>
      </c>
      <c r="M13" t="s">
        <v>858</v>
      </c>
    </row>
    <row r="14" spans="1:13">
      <c r="A14" s="19"/>
      <c r="D14" t="s">
        <v>833</v>
      </c>
      <c r="F14" t="s">
        <v>838</v>
      </c>
      <c r="G14" t="s">
        <v>849</v>
      </c>
      <c r="J14" t="s">
        <v>864</v>
      </c>
      <c r="K14" t="s">
        <v>857</v>
      </c>
      <c r="L14" t="s">
        <v>840</v>
      </c>
      <c r="M14" t="s">
        <v>855</v>
      </c>
    </row>
    <row r="15" spans="1:13">
      <c r="A15" s="19"/>
      <c r="D15" t="s">
        <v>818</v>
      </c>
      <c r="F15" t="s">
        <v>842</v>
      </c>
      <c r="G15" t="s">
        <v>838</v>
      </c>
      <c r="J15" t="s">
        <v>852</v>
      </c>
      <c r="L15" t="s">
        <v>865</v>
      </c>
      <c r="M15" t="s">
        <v>866</v>
      </c>
    </row>
    <row r="16" spans="1:13">
      <c r="A16" s="19"/>
      <c r="D16" t="s">
        <v>867</v>
      </c>
      <c r="F16" t="s">
        <v>847</v>
      </c>
      <c r="G16" t="s">
        <v>868</v>
      </c>
      <c r="J16" t="s">
        <v>855</v>
      </c>
      <c r="L16" t="s">
        <v>825</v>
      </c>
      <c r="M16" t="s">
        <v>857</v>
      </c>
    </row>
    <row r="17" spans="1:12">
      <c r="A17" s="19"/>
      <c r="D17" t="s">
        <v>845</v>
      </c>
      <c r="F17" t="s">
        <v>858</v>
      </c>
      <c r="G17" t="s">
        <v>869</v>
      </c>
      <c r="J17" t="s">
        <v>857</v>
      </c>
      <c r="L17" t="s">
        <v>870</v>
      </c>
    </row>
    <row r="18" spans="1:12">
      <c r="A18" s="19"/>
      <c r="D18" t="s">
        <v>871</v>
      </c>
      <c r="F18" t="s">
        <v>872</v>
      </c>
      <c r="G18" t="s">
        <v>852</v>
      </c>
      <c r="J18" t="s">
        <v>873</v>
      </c>
      <c r="L18" t="s">
        <v>831</v>
      </c>
    </row>
    <row r="19" spans="1:12">
      <c r="A19" s="19"/>
      <c r="D19" t="s">
        <v>874</v>
      </c>
      <c r="F19" t="s">
        <v>855</v>
      </c>
      <c r="G19" t="s">
        <v>855</v>
      </c>
      <c r="L19" t="s">
        <v>849</v>
      </c>
    </row>
    <row r="20" spans="1:12">
      <c r="A20" s="19"/>
      <c r="D20" t="s">
        <v>875</v>
      </c>
      <c r="F20" t="s">
        <v>857</v>
      </c>
      <c r="G20" t="s">
        <v>876</v>
      </c>
      <c r="L20" t="s">
        <v>838</v>
      </c>
    </row>
    <row r="21" spans="1:12">
      <c r="A21" s="19"/>
      <c r="D21" t="s">
        <v>877</v>
      </c>
      <c r="G21" t="s">
        <v>857</v>
      </c>
      <c r="L21" t="s">
        <v>878</v>
      </c>
    </row>
    <row r="22" spans="1:12">
      <c r="A22" s="19"/>
      <c r="D22" t="s">
        <v>879</v>
      </c>
      <c r="G22" t="s">
        <v>880</v>
      </c>
      <c r="L22" t="s">
        <v>868</v>
      </c>
    </row>
    <row r="23" spans="1:12">
      <c r="A23" s="19"/>
      <c r="D23" t="s">
        <v>881</v>
      </c>
      <c r="L23" t="s">
        <v>869</v>
      </c>
    </row>
    <row r="24" spans="1:12">
      <c r="A24" s="19"/>
      <c r="D24" t="s">
        <v>843</v>
      </c>
      <c r="L24" t="s">
        <v>858</v>
      </c>
    </row>
    <row r="25" spans="1:12">
      <c r="A25" s="19"/>
      <c r="D25" t="s">
        <v>854</v>
      </c>
      <c r="L25" t="s">
        <v>882</v>
      </c>
    </row>
    <row r="26" spans="1:12">
      <c r="A26" s="19"/>
      <c r="D26" t="s">
        <v>883</v>
      </c>
      <c r="L26" t="s">
        <v>872</v>
      </c>
    </row>
    <row r="27" spans="1:12">
      <c r="A27" s="19"/>
      <c r="D27" t="s">
        <v>884</v>
      </c>
      <c r="L27" t="s">
        <v>855</v>
      </c>
    </row>
    <row r="28" spans="1:12">
      <c r="A28" s="19"/>
      <c r="D28" t="s">
        <v>885</v>
      </c>
      <c r="L28" t="s">
        <v>866</v>
      </c>
    </row>
    <row r="29" spans="1:12">
      <c r="A29" s="19"/>
      <c r="D29" t="s">
        <v>819</v>
      </c>
      <c r="L29" t="s">
        <v>876</v>
      </c>
    </row>
    <row r="30" spans="1:12">
      <c r="A30" s="19"/>
      <c r="D30" t="s">
        <v>850</v>
      </c>
      <c r="L30" t="s">
        <v>886</v>
      </c>
    </row>
    <row r="31" spans="1:12">
      <c r="A31" s="19"/>
      <c r="D31" t="s">
        <v>840</v>
      </c>
      <c r="L31" t="s">
        <v>887</v>
      </c>
    </row>
    <row r="32" spans="1:12">
      <c r="A32" s="19"/>
      <c r="D32" t="s">
        <v>888</v>
      </c>
      <c r="L32" t="s">
        <v>889</v>
      </c>
    </row>
    <row r="33" spans="1:12">
      <c r="A33" s="19"/>
      <c r="D33" t="s">
        <v>890</v>
      </c>
      <c r="L33" t="s">
        <v>873</v>
      </c>
    </row>
    <row r="34" spans="1:12">
      <c r="A34" s="19"/>
      <c r="D34" t="s">
        <v>825</v>
      </c>
    </row>
    <row r="35" spans="1:12">
      <c r="A35" s="19"/>
      <c r="D35" t="s">
        <v>891</v>
      </c>
    </row>
    <row r="36" spans="1:12">
      <c r="A36" s="19"/>
      <c r="D36" t="s">
        <v>870</v>
      </c>
    </row>
    <row r="37" spans="1:12">
      <c r="A37" s="19"/>
      <c r="D37" t="s">
        <v>892</v>
      </c>
    </row>
    <row r="38" spans="1:12">
      <c r="A38" s="19"/>
      <c r="D38" t="s">
        <v>831</v>
      </c>
    </row>
    <row r="39" spans="1:12">
      <c r="A39" s="19"/>
      <c r="D39" t="s">
        <v>849</v>
      </c>
    </row>
    <row r="40" spans="1:12">
      <c r="A40" s="19"/>
      <c r="D40" t="s">
        <v>838</v>
      </c>
    </row>
    <row r="41" spans="1:12">
      <c r="A41" s="19"/>
      <c r="D41" t="s">
        <v>842</v>
      </c>
    </row>
    <row r="42" spans="1:12">
      <c r="A42" s="19"/>
      <c r="D42" t="s">
        <v>847</v>
      </c>
    </row>
    <row r="43" spans="1:12">
      <c r="A43" s="19"/>
      <c r="D43" t="s">
        <v>893</v>
      </c>
    </row>
    <row r="44" spans="1:12">
      <c r="A44" s="19"/>
      <c r="D44" t="s">
        <v>894</v>
      </c>
    </row>
    <row r="45" spans="1:12">
      <c r="A45" s="19"/>
      <c r="D45" t="s">
        <v>869</v>
      </c>
    </row>
    <row r="46" spans="1:12">
      <c r="A46" s="19"/>
      <c r="D46" t="s">
        <v>895</v>
      </c>
    </row>
    <row r="47" spans="1:12">
      <c r="A47" s="19"/>
      <c r="D47" t="s">
        <v>896</v>
      </c>
    </row>
    <row r="48" spans="1:12">
      <c r="A48" s="19"/>
      <c r="D48" t="s">
        <v>860</v>
      </c>
    </row>
    <row r="49" spans="1:13">
      <c r="A49" s="19"/>
      <c r="D49" t="s">
        <v>897</v>
      </c>
    </row>
    <row r="50" spans="1:13">
      <c r="A50" s="19"/>
      <c r="D50" t="s">
        <v>798</v>
      </c>
    </row>
    <row r="51" spans="1:13">
      <c r="A51" s="19"/>
      <c r="D51" t="s">
        <v>872</v>
      </c>
    </row>
    <row r="52" spans="1:13">
      <c r="A52" s="19"/>
      <c r="D52" t="s">
        <v>855</v>
      </c>
    </row>
    <row r="53" spans="1:13">
      <c r="A53" s="19"/>
      <c r="D53" t="s">
        <v>876</v>
      </c>
    </row>
    <row r="54" spans="1:13">
      <c r="A54" s="19"/>
      <c r="D54" t="s">
        <v>857</v>
      </c>
    </row>
    <row r="55" spans="1:13">
      <c r="A55" s="19"/>
      <c r="D55" t="s">
        <v>898</v>
      </c>
    </row>
    <row r="56" spans="1:13">
      <c r="A56" s="19"/>
      <c r="D56" t="s">
        <v>873</v>
      </c>
    </row>
    <row r="57" spans="1:13" s="5" customFormat="1" ht="25.15" customHeight="1">
      <c r="B57" s="5">
        <f>COUNTBLANK(B2:B56)</f>
        <v>45</v>
      </c>
      <c r="C57" s="5">
        <f t="shared" ref="C57:M57" si="0">COUNTBLANK(C2:C56)</f>
        <v>43</v>
      </c>
      <c r="D57" s="5">
        <f t="shared" si="0"/>
        <v>0</v>
      </c>
      <c r="E57" s="5">
        <f t="shared" si="0"/>
        <v>43</v>
      </c>
      <c r="F57" s="5">
        <f t="shared" si="0"/>
        <v>36</v>
      </c>
      <c r="G57" s="5">
        <f t="shared" si="0"/>
        <v>34</v>
      </c>
      <c r="H57" s="5">
        <f t="shared" si="0"/>
        <v>45</v>
      </c>
      <c r="I57" s="5">
        <f t="shared" si="0"/>
        <v>45</v>
      </c>
      <c r="J57" s="5">
        <f t="shared" si="0"/>
        <v>38</v>
      </c>
      <c r="K57" s="5">
        <f t="shared" si="0"/>
        <v>42</v>
      </c>
      <c r="L57" s="5">
        <f t="shared" si="0"/>
        <v>23</v>
      </c>
      <c r="M57" s="5">
        <f t="shared" si="0"/>
        <v>40</v>
      </c>
    </row>
    <row r="58" spans="1:13" s="6" customFormat="1" ht="28.9">
      <c r="A58" s="15" t="s">
        <v>899</v>
      </c>
      <c r="B58" s="6">
        <f>(56-B57)</f>
        <v>11</v>
      </c>
      <c r="C58" s="6">
        <f t="shared" ref="C58:M58" si="1">(56-C57)</f>
        <v>13</v>
      </c>
      <c r="D58" s="6">
        <f>(56-D57)</f>
        <v>56</v>
      </c>
      <c r="E58" s="6">
        <f t="shared" si="1"/>
        <v>13</v>
      </c>
      <c r="F58" s="6">
        <f t="shared" si="1"/>
        <v>20</v>
      </c>
      <c r="G58" s="6">
        <f t="shared" si="1"/>
        <v>22</v>
      </c>
      <c r="H58" s="6">
        <f t="shared" si="1"/>
        <v>11</v>
      </c>
      <c r="I58" s="6">
        <f t="shared" si="1"/>
        <v>11</v>
      </c>
      <c r="J58" s="6">
        <f t="shared" si="1"/>
        <v>18</v>
      </c>
      <c r="K58" s="6">
        <f t="shared" si="1"/>
        <v>14</v>
      </c>
      <c r="L58" s="6">
        <f t="shared" si="1"/>
        <v>33</v>
      </c>
      <c r="M58" s="6">
        <f t="shared" si="1"/>
        <v>16</v>
      </c>
    </row>
    <row r="59" spans="1:13">
      <c r="B59" s="7">
        <v>1</v>
      </c>
      <c r="C59" s="7">
        <v>2</v>
      </c>
      <c r="D59" s="7">
        <v>3</v>
      </c>
      <c r="E59" s="7">
        <v>4</v>
      </c>
      <c r="F59" s="7">
        <v>5</v>
      </c>
      <c r="G59" s="7">
        <v>6</v>
      </c>
      <c r="H59" s="7">
        <v>7</v>
      </c>
      <c r="I59" s="7">
        <v>8</v>
      </c>
      <c r="J59" s="7">
        <v>9</v>
      </c>
      <c r="K59" s="7">
        <v>10</v>
      </c>
      <c r="L59" s="7">
        <v>11</v>
      </c>
      <c r="M59" s="7">
        <v>12</v>
      </c>
    </row>
  </sheetData>
  <mergeCells count="1">
    <mergeCell ref="A2:A56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D59F-F690-4B3F-ADA1-2992EB153299}">
  <dimension ref="A1:BD14"/>
  <sheetViews>
    <sheetView workbookViewId="0">
      <selection activeCell="Q26" sqref="Q26"/>
    </sheetView>
  </sheetViews>
  <sheetFormatPr defaultRowHeight="14.45"/>
  <cols>
    <col min="2" max="2" width="11.140625" bestFit="1" customWidth="1"/>
    <col min="3" max="3" width="11.7109375" bestFit="1" customWidth="1"/>
    <col min="4" max="4" width="12.85546875" bestFit="1" customWidth="1"/>
    <col min="5" max="5" width="13" bestFit="1" customWidth="1"/>
    <col min="6" max="6" width="20.42578125" bestFit="1" customWidth="1"/>
    <col min="7" max="7" width="13.5703125" bestFit="1" customWidth="1"/>
    <col min="8" max="10" width="12.85546875" bestFit="1" customWidth="1"/>
    <col min="11" max="11" width="11" bestFit="1" customWidth="1"/>
    <col min="12" max="12" width="12.85546875" bestFit="1" customWidth="1"/>
    <col min="13" max="14" width="10.7109375" bestFit="1" customWidth="1"/>
    <col min="15" max="15" width="10" bestFit="1" customWidth="1"/>
    <col min="16" max="16" width="11.7109375" bestFit="1" customWidth="1"/>
    <col min="17" max="21" width="12.85546875" bestFit="1" customWidth="1"/>
    <col min="22" max="23" width="10.5703125" bestFit="1" customWidth="1"/>
    <col min="24" max="25" width="7.28515625" bestFit="1" customWidth="1"/>
    <col min="26" max="27" width="12.85546875" bestFit="1" customWidth="1"/>
    <col min="28" max="28" width="11.7109375" bestFit="1" customWidth="1"/>
    <col min="29" max="29" width="7.7109375" bestFit="1" customWidth="1"/>
    <col min="30" max="30" width="7.28515625" bestFit="1" customWidth="1"/>
    <col min="31" max="31" width="7.85546875" bestFit="1" customWidth="1"/>
    <col min="32" max="32" width="8" bestFit="1" customWidth="1"/>
    <col min="33" max="33" width="9.5703125" bestFit="1" customWidth="1"/>
    <col min="34" max="36" width="8.42578125" bestFit="1" customWidth="1"/>
    <col min="37" max="37" width="8.7109375" bestFit="1" customWidth="1"/>
    <col min="38" max="38" width="8.5703125" bestFit="1" customWidth="1"/>
    <col min="39" max="40" width="9.140625" bestFit="1" customWidth="1"/>
    <col min="41" max="41" width="8.7109375" bestFit="1" customWidth="1"/>
    <col min="42" max="42" width="9.42578125" bestFit="1" customWidth="1"/>
    <col min="43" max="43" width="7.42578125" bestFit="1" customWidth="1"/>
    <col min="44" max="44" width="5.42578125" bestFit="1" customWidth="1"/>
    <col min="45" max="47" width="7.7109375" bestFit="1" customWidth="1"/>
    <col min="48" max="50" width="6.28515625" bestFit="1" customWidth="1"/>
    <col min="51" max="53" width="7.7109375" bestFit="1" customWidth="1"/>
    <col min="54" max="54" width="7.28515625" bestFit="1" customWidth="1"/>
    <col min="55" max="55" width="10" bestFit="1" customWidth="1"/>
    <col min="56" max="56" width="8.28515625" bestFit="1" customWidth="1"/>
  </cols>
  <sheetData>
    <row r="1" spans="1:56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6">
      <c r="B2" s="14" t="s">
        <v>900</v>
      </c>
      <c r="C2" s="14" t="s">
        <v>900</v>
      </c>
      <c r="D2" s="14" t="s">
        <v>900</v>
      </c>
      <c r="E2" s="14" t="s">
        <v>900</v>
      </c>
      <c r="F2" s="14" t="s">
        <v>900</v>
      </c>
      <c r="G2" s="14" t="s">
        <v>900</v>
      </c>
      <c r="H2" s="14" t="s">
        <v>900</v>
      </c>
      <c r="I2" s="14" t="s">
        <v>900</v>
      </c>
      <c r="J2" s="14" t="s">
        <v>900</v>
      </c>
      <c r="K2" s="14" t="s">
        <v>900</v>
      </c>
      <c r="L2" s="14" t="s">
        <v>900</v>
      </c>
      <c r="M2" s="14" t="s">
        <v>900</v>
      </c>
      <c r="N2" s="14" t="s">
        <v>900</v>
      </c>
      <c r="O2" s="14" t="s">
        <v>900</v>
      </c>
      <c r="P2" s="14" t="s">
        <v>900</v>
      </c>
      <c r="Q2" s="14" t="s">
        <v>900</v>
      </c>
      <c r="R2" s="14" t="s">
        <v>900</v>
      </c>
      <c r="S2" s="14" t="s">
        <v>900</v>
      </c>
      <c r="T2" s="14" t="s">
        <v>900</v>
      </c>
      <c r="U2" s="14" t="s">
        <v>900</v>
      </c>
      <c r="V2" s="14" t="s">
        <v>900</v>
      </c>
      <c r="W2" s="14" t="s">
        <v>900</v>
      </c>
      <c r="X2" s="14" t="s">
        <v>900</v>
      </c>
      <c r="Y2" s="14" t="s">
        <v>900</v>
      </c>
      <c r="Z2" s="14" t="s">
        <v>900</v>
      </c>
      <c r="AA2" s="14" t="s">
        <v>900</v>
      </c>
      <c r="AB2" s="14" t="s">
        <v>900</v>
      </c>
      <c r="AC2" s="14" t="s">
        <v>900</v>
      </c>
      <c r="AD2" s="14" t="s">
        <v>900</v>
      </c>
      <c r="AE2" s="14" t="s">
        <v>900</v>
      </c>
      <c r="AF2" s="14" t="s">
        <v>900</v>
      </c>
      <c r="AG2" s="14" t="s">
        <v>900</v>
      </c>
      <c r="AH2" s="14" t="s">
        <v>900</v>
      </c>
      <c r="AI2" s="14" t="s">
        <v>900</v>
      </c>
      <c r="AJ2" s="14" t="s">
        <v>900</v>
      </c>
      <c r="AK2" s="14" t="s">
        <v>900</v>
      </c>
      <c r="AL2" s="14" t="s">
        <v>900</v>
      </c>
      <c r="AM2" s="14" t="s">
        <v>900</v>
      </c>
      <c r="AN2" s="14" t="s">
        <v>900</v>
      </c>
      <c r="AO2" s="14" t="s">
        <v>900</v>
      </c>
      <c r="AP2" s="14" t="s">
        <v>900</v>
      </c>
      <c r="AQ2" s="14" t="s">
        <v>900</v>
      </c>
      <c r="AR2" s="14" t="s">
        <v>900</v>
      </c>
      <c r="AS2" s="14" t="s">
        <v>900</v>
      </c>
      <c r="AT2" s="14" t="s">
        <v>900</v>
      </c>
      <c r="AU2" s="14" t="s">
        <v>900</v>
      </c>
      <c r="AV2" s="14" t="s">
        <v>900</v>
      </c>
      <c r="AW2" s="14" t="s">
        <v>900</v>
      </c>
      <c r="AX2" s="14" t="s">
        <v>900</v>
      </c>
      <c r="AY2" s="14" t="s">
        <v>900</v>
      </c>
      <c r="AZ2" s="14" t="s">
        <v>900</v>
      </c>
      <c r="BA2" s="14" t="s">
        <v>900</v>
      </c>
      <c r="BB2" s="14" t="s">
        <v>900</v>
      </c>
      <c r="BC2" s="14" t="s">
        <v>900</v>
      </c>
      <c r="BD2" s="14" t="s">
        <v>900</v>
      </c>
    </row>
    <row r="3" spans="1:56">
      <c r="A3">
        <v>1</v>
      </c>
      <c r="B3" s="8" t="s">
        <v>780</v>
      </c>
      <c r="C3" s="11" t="s">
        <v>819</v>
      </c>
      <c r="D3" s="8" t="s">
        <v>825</v>
      </c>
      <c r="E3" s="11" t="s">
        <v>831</v>
      </c>
      <c r="F3" s="8" t="s">
        <v>838</v>
      </c>
      <c r="G3" s="11" t="s">
        <v>842</v>
      </c>
      <c r="H3" s="8" t="s">
        <v>847</v>
      </c>
      <c r="I3" s="11" t="s">
        <v>852</v>
      </c>
      <c r="J3" s="8" t="s">
        <v>855</v>
      </c>
      <c r="K3" s="11" t="s">
        <v>857</v>
      </c>
      <c r="L3" s="8"/>
      <c r="M3" s="11"/>
      <c r="N3" s="8"/>
      <c r="O3" s="11"/>
      <c r="P3" s="8"/>
      <c r="Q3" s="11"/>
      <c r="R3" s="8"/>
      <c r="S3" s="11"/>
      <c r="T3" s="8"/>
      <c r="U3" s="11"/>
      <c r="V3" s="8"/>
      <c r="W3" s="11"/>
      <c r="X3" s="8"/>
      <c r="Y3" s="11"/>
      <c r="Z3" s="8"/>
      <c r="AA3" s="11"/>
      <c r="AB3" s="8"/>
      <c r="AC3" s="11"/>
      <c r="AD3" s="8"/>
      <c r="AE3" s="11"/>
      <c r="AF3" s="8"/>
      <c r="AG3" s="11"/>
      <c r="AH3" s="8"/>
      <c r="AI3" s="11"/>
      <c r="AJ3" s="8"/>
      <c r="AK3" s="11"/>
      <c r="AL3" s="8"/>
      <c r="AM3" s="11"/>
      <c r="AN3" s="8"/>
      <c r="AO3" s="11"/>
      <c r="AP3" s="8"/>
      <c r="AQ3" s="11"/>
      <c r="AR3" s="8"/>
      <c r="AS3" s="11"/>
      <c r="AT3" s="8"/>
      <c r="AU3" s="11"/>
      <c r="AV3" s="8"/>
      <c r="AW3" s="11"/>
      <c r="AX3" s="8"/>
      <c r="AY3" s="11"/>
      <c r="AZ3" s="8"/>
      <c r="BA3" s="11"/>
      <c r="BB3" s="8"/>
      <c r="BC3" s="11"/>
      <c r="BD3" s="8"/>
    </row>
    <row r="4" spans="1:56">
      <c r="A4">
        <v>2</v>
      </c>
      <c r="B4" s="9" t="s">
        <v>816</v>
      </c>
      <c r="C4" s="12" t="s">
        <v>820</v>
      </c>
      <c r="D4" s="9" t="s">
        <v>824</v>
      </c>
      <c r="E4" s="12" t="s">
        <v>818</v>
      </c>
      <c r="F4" s="9" t="s">
        <v>836</v>
      </c>
      <c r="G4" s="12" t="s">
        <v>843</v>
      </c>
      <c r="H4" s="9" t="s">
        <v>819</v>
      </c>
      <c r="I4" s="12" t="s">
        <v>825</v>
      </c>
      <c r="J4" s="9" t="s">
        <v>831</v>
      </c>
      <c r="K4" s="12" t="s">
        <v>838</v>
      </c>
      <c r="L4" s="9" t="s">
        <v>858</v>
      </c>
      <c r="M4" s="12" t="s">
        <v>855</v>
      </c>
      <c r="N4" s="9"/>
      <c r="O4" s="12"/>
      <c r="P4" s="9"/>
      <c r="Q4" s="12"/>
      <c r="R4" s="9"/>
      <c r="S4" s="12"/>
      <c r="T4" s="9"/>
      <c r="U4" s="12"/>
      <c r="V4" s="9"/>
      <c r="W4" s="12"/>
      <c r="X4" s="9"/>
      <c r="Y4" s="12"/>
      <c r="Z4" s="9"/>
      <c r="AA4" s="12"/>
      <c r="AB4" s="9"/>
      <c r="AC4" s="12"/>
      <c r="AD4" s="9"/>
      <c r="AE4" s="12"/>
      <c r="AF4" s="9"/>
      <c r="AG4" s="12"/>
      <c r="AH4" s="9"/>
      <c r="AI4" s="12"/>
      <c r="AJ4" s="9"/>
      <c r="AK4" s="12"/>
      <c r="AL4" s="9"/>
      <c r="AM4" s="12"/>
      <c r="AN4" s="9"/>
      <c r="AO4" s="12"/>
      <c r="AP4" s="9"/>
      <c r="AQ4" s="12"/>
      <c r="AR4" s="9"/>
      <c r="AS4" s="12"/>
      <c r="AT4" s="9"/>
      <c r="AU4" s="12"/>
      <c r="AV4" s="9"/>
      <c r="AW4" s="12"/>
      <c r="AX4" s="9"/>
      <c r="AY4" s="12"/>
      <c r="AZ4" s="9"/>
      <c r="BA4" s="12"/>
      <c r="BB4" s="9"/>
      <c r="BC4" s="12"/>
      <c r="BD4" s="9"/>
    </row>
    <row r="5" spans="1:56">
      <c r="A5">
        <v>3</v>
      </c>
      <c r="B5" s="9" t="s">
        <v>817</v>
      </c>
      <c r="C5" s="12" t="s">
        <v>816</v>
      </c>
      <c r="D5" s="9" t="s">
        <v>826</v>
      </c>
      <c r="E5" s="12" t="s">
        <v>832</v>
      </c>
      <c r="F5" s="9" t="s">
        <v>839</v>
      </c>
      <c r="G5" s="12" t="s">
        <v>844</v>
      </c>
      <c r="H5" s="9" t="s">
        <v>848</v>
      </c>
      <c r="I5" s="12" t="s">
        <v>853</v>
      </c>
      <c r="J5" s="9" t="s">
        <v>853</v>
      </c>
      <c r="K5" s="12" t="s">
        <v>820</v>
      </c>
      <c r="L5" s="9" t="s">
        <v>859</v>
      </c>
      <c r="M5" s="12" t="s">
        <v>863</v>
      </c>
      <c r="N5" s="9" t="s">
        <v>833</v>
      </c>
      <c r="O5" s="12" t="s">
        <v>818</v>
      </c>
      <c r="P5" s="9" t="s">
        <v>867</v>
      </c>
      <c r="Q5" s="12" t="s">
        <v>845</v>
      </c>
      <c r="R5" s="9" t="s">
        <v>871</v>
      </c>
      <c r="S5" s="12" t="s">
        <v>874</v>
      </c>
      <c r="T5" s="9" t="s">
        <v>875</v>
      </c>
      <c r="U5" s="12" t="s">
        <v>877</v>
      </c>
      <c r="V5" s="9" t="s">
        <v>879</v>
      </c>
      <c r="W5" s="12" t="s">
        <v>881</v>
      </c>
      <c r="X5" s="9" t="s">
        <v>843</v>
      </c>
      <c r="Y5" s="12" t="s">
        <v>854</v>
      </c>
      <c r="Z5" s="9" t="s">
        <v>883</v>
      </c>
      <c r="AA5" s="12" t="s">
        <v>884</v>
      </c>
      <c r="AB5" s="9" t="s">
        <v>885</v>
      </c>
      <c r="AC5" s="12" t="s">
        <v>819</v>
      </c>
      <c r="AD5" s="9" t="s">
        <v>850</v>
      </c>
      <c r="AE5" s="12" t="s">
        <v>840</v>
      </c>
      <c r="AF5" s="9" t="s">
        <v>888</v>
      </c>
      <c r="AG5" s="12" t="s">
        <v>890</v>
      </c>
      <c r="AH5" s="9" t="s">
        <v>825</v>
      </c>
      <c r="AI5" s="12" t="s">
        <v>891</v>
      </c>
      <c r="AJ5" s="9" t="s">
        <v>870</v>
      </c>
      <c r="AK5" s="12" t="s">
        <v>892</v>
      </c>
      <c r="AL5" s="9" t="s">
        <v>831</v>
      </c>
      <c r="AM5" s="12" t="s">
        <v>849</v>
      </c>
      <c r="AN5" s="9" t="s">
        <v>838</v>
      </c>
      <c r="AO5" s="12" t="s">
        <v>842</v>
      </c>
      <c r="AP5" s="9" t="s">
        <v>847</v>
      </c>
      <c r="AQ5" s="12" t="s">
        <v>893</v>
      </c>
      <c r="AR5" s="9" t="s">
        <v>894</v>
      </c>
      <c r="AS5" s="12" t="s">
        <v>869</v>
      </c>
      <c r="AT5" s="9" t="s">
        <v>895</v>
      </c>
      <c r="AU5" s="12" t="s">
        <v>896</v>
      </c>
      <c r="AV5" s="9" t="s">
        <v>860</v>
      </c>
      <c r="AW5" s="12" t="s">
        <v>897</v>
      </c>
      <c r="AX5" s="9" t="s">
        <v>798</v>
      </c>
      <c r="AY5" s="12" t="s">
        <v>872</v>
      </c>
      <c r="AZ5" s="9" t="s">
        <v>855</v>
      </c>
      <c r="BA5" s="12" t="s">
        <v>876</v>
      </c>
      <c r="BB5" s="9" t="s">
        <v>857</v>
      </c>
      <c r="BC5" s="12" t="s">
        <v>898</v>
      </c>
      <c r="BD5" s="9" t="s">
        <v>873</v>
      </c>
    </row>
    <row r="6" spans="1:56">
      <c r="A6">
        <v>4</v>
      </c>
      <c r="B6" s="9" t="s">
        <v>816</v>
      </c>
      <c r="C6" s="12" t="s">
        <v>820</v>
      </c>
      <c r="D6" s="9" t="s">
        <v>818</v>
      </c>
      <c r="E6" s="12" t="s">
        <v>828</v>
      </c>
      <c r="F6" s="9" t="s">
        <v>819</v>
      </c>
      <c r="G6" s="12" t="s">
        <v>825</v>
      </c>
      <c r="H6" s="9" t="s">
        <v>831</v>
      </c>
      <c r="I6" s="12" t="s">
        <v>838</v>
      </c>
      <c r="J6" s="9" t="s">
        <v>842</v>
      </c>
      <c r="K6" s="12" t="s">
        <v>847</v>
      </c>
      <c r="L6" s="9" t="s">
        <v>860</v>
      </c>
      <c r="M6" s="12" t="s">
        <v>855</v>
      </c>
      <c r="N6" s="9"/>
      <c r="O6" s="12"/>
      <c r="P6" s="9"/>
      <c r="Q6" s="12"/>
      <c r="R6" s="9"/>
      <c r="S6" s="12"/>
      <c r="T6" s="9"/>
      <c r="U6" s="12"/>
      <c r="V6" s="9"/>
      <c r="W6" s="12"/>
      <c r="X6" s="9"/>
      <c r="Y6" s="12"/>
      <c r="Z6" s="9"/>
      <c r="AA6" s="12"/>
      <c r="AB6" s="9"/>
      <c r="AC6" s="12"/>
      <c r="AD6" s="9"/>
      <c r="AE6" s="12"/>
      <c r="AF6" s="9"/>
      <c r="AG6" s="12"/>
      <c r="AH6" s="9"/>
      <c r="AI6" s="12"/>
      <c r="AJ6" s="9"/>
      <c r="AK6" s="12"/>
      <c r="AL6" s="9"/>
      <c r="AM6" s="12"/>
      <c r="AN6" s="9"/>
      <c r="AO6" s="12"/>
      <c r="AP6" s="9"/>
      <c r="AQ6" s="12"/>
      <c r="AR6" s="9"/>
      <c r="AS6" s="12"/>
      <c r="AT6" s="9"/>
      <c r="AU6" s="12"/>
      <c r="AV6" s="9"/>
      <c r="AW6" s="12"/>
      <c r="AX6" s="9"/>
      <c r="AY6" s="12"/>
      <c r="AZ6" s="9"/>
      <c r="BA6" s="12"/>
      <c r="BB6" s="9"/>
      <c r="BC6" s="12"/>
      <c r="BD6" s="9"/>
    </row>
    <row r="7" spans="1:56">
      <c r="A7">
        <v>5</v>
      </c>
      <c r="B7" s="9" t="s">
        <v>817</v>
      </c>
      <c r="C7" s="12" t="s">
        <v>816</v>
      </c>
      <c r="D7" s="9" t="s">
        <v>827</v>
      </c>
      <c r="E7" s="12" t="s">
        <v>820</v>
      </c>
      <c r="F7" s="9" t="s">
        <v>818</v>
      </c>
      <c r="G7" s="12" t="s">
        <v>845</v>
      </c>
      <c r="H7" s="9" t="s">
        <v>828</v>
      </c>
      <c r="I7" s="12" t="s">
        <v>819</v>
      </c>
      <c r="J7" s="9" t="s">
        <v>856</v>
      </c>
      <c r="K7" s="12" t="s">
        <v>825</v>
      </c>
      <c r="L7" s="9" t="s">
        <v>831</v>
      </c>
      <c r="M7" s="12" t="s">
        <v>849</v>
      </c>
      <c r="N7" s="9" t="s">
        <v>838</v>
      </c>
      <c r="O7" s="12" t="s">
        <v>842</v>
      </c>
      <c r="P7" s="9" t="s">
        <v>847</v>
      </c>
      <c r="Q7" s="12" t="s">
        <v>858</v>
      </c>
      <c r="R7" s="9" t="s">
        <v>872</v>
      </c>
      <c r="S7" s="12" t="s">
        <v>855</v>
      </c>
      <c r="T7" s="9" t="s">
        <v>857</v>
      </c>
      <c r="U7" s="12"/>
      <c r="V7" s="9"/>
      <c r="W7" s="12"/>
      <c r="X7" s="9"/>
      <c r="Y7" s="12"/>
      <c r="Z7" s="9"/>
      <c r="AA7" s="12"/>
      <c r="AB7" s="9"/>
      <c r="AC7" s="12"/>
      <c r="AD7" s="9"/>
      <c r="AE7" s="12"/>
      <c r="AF7" s="9"/>
      <c r="AG7" s="12"/>
      <c r="AH7" s="9"/>
      <c r="AI7" s="12"/>
      <c r="AJ7" s="9"/>
      <c r="AK7" s="12"/>
      <c r="AL7" s="9"/>
      <c r="AM7" s="12"/>
      <c r="AN7" s="9"/>
      <c r="AO7" s="12"/>
      <c r="AP7" s="9"/>
      <c r="AQ7" s="12"/>
      <c r="AR7" s="9"/>
      <c r="AS7" s="12"/>
      <c r="AT7" s="9"/>
      <c r="AU7" s="12"/>
      <c r="AV7" s="9"/>
      <c r="AW7" s="12"/>
      <c r="AX7" s="9"/>
      <c r="AY7" s="12"/>
      <c r="AZ7" s="9"/>
      <c r="BA7" s="12"/>
      <c r="BB7" s="9"/>
      <c r="BC7" s="12"/>
      <c r="BD7" s="9"/>
    </row>
    <row r="8" spans="1:56">
      <c r="A8">
        <v>6</v>
      </c>
      <c r="B8" s="9" t="s">
        <v>816</v>
      </c>
      <c r="C8" s="12" t="s">
        <v>821</v>
      </c>
      <c r="D8" s="9" t="s">
        <v>820</v>
      </c>
      <c r="E8" s="12" t="s">
        <v>833</v>
      </c>
      <c r="F8" s="9" t="s">
        <v>818</v>
      </c>
      <c r="G8" s="12" t="s">
        <v>836</v>
      </c>
      <c r="H8" s="9" t="s">
        <v>822</v>
      </c>
      <c r="I8" s="12" t="s">
        <v>854</v>
      </c>
      <c r="J8" s="9" t="s">
        <v>819</v>
      </c>
      <c r="K8" s="12" t="s">
        <v>834</v>
      </c>
      <c r="L8" s="9" t="s">
        <v>825</v>
      </c>
      <c r="M8" s="12" t="s">
        <v>831</v>
      </c>
      <c r="N8" s="9" t="s">
        <v>849</v>
      </c>
      <c r="O8" s="12" t="s">
        <v>838</v>
      </c>
      <c r="P8" s="9" t="s">
        <v>868</v>
      </c>
      <c r="Q8" s="12" t="s">
        <v>869</v>
      </c>
      <c r="R8" s="9" t="s">
        <v>852</v>
      </c>
      <c r="S8" s="12" t="s">
        <v>855</v>
      </c>
      <c r="T8" s="9" t="s">
        <v>876</v>
      </c>
      <c r="U8" s="12" t="s">
        <v>857</v>
      </c>
      <c r="V8" s="9" t="s">
        <v>880</v>
      </c>
      <c r="W8" s="12"/>
      <c r="X8" s="9"/>
      <c r="Y8" s="12"/>
      <c r="Z8" s="9"/>
      <c r="AA8" s="12"/>
      <c r="AB8" s="9"/>
      <c r="AC8" s="12"/>
      <c r="AD8" s="9"/>
      <c r="AE8" s="12"/>
      <c r="AF8" s="9"/>
      <c r="AG8" s="12"/>
      <c r="AH8" s="9"/>
      <c r="AI8" s="12"/>
      <c r="AJ8" s="9"/>
      <c r="AK8" s="12"/>
      <c r="AL8" s="9"/>
      <c r="AM8" s="12"/>
      <c r="AN8" s="9"/>
      <c r="AO8" s="12"/>
      <c r="AP8" s="9"/>
      <c r="AQ8" s="12"/>
      <c r="AR8" s="9"/>
      <c r="AS8" s="12"/>
      <c r="AT8" s="9"/>
      <c r="AU8" s="12"/>
      <c r="AV8" s="9"/>
      <c r="AW8" s="12"/>
      <c r="AX8" s="9"/>
      <c r="AY8" s="12"/>
      <c r="AZ8" s="9"/>
      <c r="BA8" s="12"/>
      <c r="BB8" s="9"/>
      <c r="BC8" s="12"/>
      <c r="BD8" s="9"/>
    </row>
    <row r="9" spans="1:56">
      <c r="A9">
        <v>7</v>
      </c>
      <c r="B9" s="9" t="s">
        <v>816</v>
      </c>
      <c r="C9" s="12" t="s">
        <v>820</v>
      </c>
      <c r="D9" s="9" t="s">
        <v>828</v>
      </c>
      <c r="E9" s="12" t="s">
        <v>819</v>
      </c>
      <c r="F9" s="9" t="s">
        <v>840</v>
      </c>
      <c r="G9" s="12" t="s">
        <v>825</v>
      </c>
      <c r="H9" s="9" t="s">
        <v>831</v>
      </c>
      <c r="I9" s="12" t="s">
        <v>838</v>
      </c>
      <c r="J9" s="9" t="s">
        <v>847</v>
      </c>
      <c r="K9" s="12" t="s">
        <v>855</v>
      </c>
      <c r="L9" s="9"/>
      <c r="M9" s="12"/>
      <c r="N9" s="9"/>
      <c r="O9" s="12"/>
      <c r="P9" s="9"/>
      <c r="Q9" s="12"/>
      <c r="R9" s="9"/>
      <c r="S9" s="12"/>
      <c r="T9" s="9"/>
      <c r="U9" s="12"/>
      <c r="V9" s="9"/>
      <c r="W9" s="12"/>
      <c r="X9" s="9"/>
      <c r="Y9" s="12"/>
      <c r="Z9" s="9"/>
      <c r="AA9" s="12"/>
      <c r="AB9" s="9"/>
      <c r="AC9" s="12"/>
      <c r="AD9" s="9"/>
      <c r="AE9" s="12"/>
      <c r="AF9" s="9"/>
      <c r="AG9" s="12"/>
      <c r="AH9" s="9"/>
      <c r="AI9" s="12"/>
      <c r="AJ9" s="9"/>
      <c r="AK9" s="12"/>
      <c r="AL9" s="9"/>
      <c r="AM9" s="12"/>
      <c r="AN9" s="9"/>
      <c r="AO9" s="12"/>
      <c r="AP9" s="9"/>
      <c r="AQ9" s="12"/>
      <c r="AR9" s="9"/>
      <c r="AS9" s="12"/>
      <c r="AT9" s="9"/>
      <c r="AU9" s="12"/>
      <c r="AV9" s="9"/>
      <c r="AW9" s="12"/>
      <c r="AX9" s="9"/>
      <c r="AY9" s="12"/>
      <c r="AZ9" s="9"/>
      <c r="BA9" s="12"/>
      <c r="BB9" s="9"/>
      <c r="BC9" s="12"/>
      <c r="BD9" s="9"/>
    </row>
    <row r="10" spans="1:56">
      <c r="A10">
        <v>8</v>
      </c>
      <c r="B10" s="9" t="s">
        <v>818</v>
      </c>
      <c r="C10" s="12" t="s">
        <v>822</v>
      </c>
      <c r="D10" s="9" t="s">
        <v>819</v>
      </c>
      <c r="E10" s="12" t="s">
        <v>834</v>
      </c>
      <c r="F10" s="9" t="s">
        <v>825</v>
      </c>
      <c r="G10" s="12" t="s">
        <v>831</v>
      </c>
      <c r="H10" s="9" t="s">
        <v>849</v>
      </c>
      <c r="I10" s="12" t="s">
        <v>838</v>
      </c>
      <c r="J10" s="9" t="s">
        <v>855</v>
      </c>
      <c r="K10" s="12" t="s">
        <v>857</v>
      </c>
      <c r="L10" s="9"/>
      <c r="M10" s="12"/>
      <c r="N10" s="9"/>
      <c r="O10" s="12"/>
      <c r="P10" s="9"/>
      <c r="Q10" s="12"/>
      <c r="R10" s="9"/>
      <c r="S10" s="12"/>
      <c r="T10" s="9"/>
      <c r="U10" s="12"/>
      <c r="V10" s="9"/>
      <c r="W10" s="12"/>
      <c r="X10" s="9"/>
      <c r="Y10" s="12"/>
      <c r="Z10" s="9"/>
      <c r="AA10" s="12"/>
      <c r="AB10" s="9"/>
      <c r="AC10" s="12"/>
      <c r="AD10" s="9"/>
      <c r="AE10" s="12"/>
      <c r="AF10" s="9"/>
      <c r="AG10" s="12"/>
      <c r="AH10" s="9"/>
      <c r="AI10" s="12"/>
      <c r="AJ10" s="9"/>
      <c r="AK10" s="12"/>
      <c r="AL10" s="9"/>
      <c r="AM10" s="12"/>
      <c r="AN10" s="9"/>
      <c r="AO10" s="12"/>
      <c r="AP10" s="9"/>
      <c r="AQ10" s="12"/>
      <c r="AR10" s="9"/>
      <c r="AS10" s="12"/>
      <c r="AT10" s="9"/>
      <c r="AU10" s="12"/>
      <c r="AV10" s="9"/>
      <c r="AW10" s="12"/>
      <c r="AX10" s="9"/>
      <c r="AY10" s="12"/>
      <c r="AZ10" s="9"/>
      <c r="BA10" s="12"/>
      <c r="BB10" s="9"/>
      <c r="BC10" s="12"/>
      <c r="BD10" s="9"/>
    </row>
    <row r="11" spans="1:56">
      <c r="A11">
        <v>9</v>
      </c>
      <c r="B11" s="9" t="s">
        <v>817</v>
      </c>
      <c r="C11" s="12" t="s">
        <v>823</v>
      </c>
      <c r="D11" s="9" t="s">
        <v>820</v>
      </c>
      <c r="E11" s="12" t="s">
        <v>835</v>
      </c>
      <c r="F11" s="9" t="s">
        <v>841</v>
      </c>
      <c r="G11" s="12" t="s">
        <v>819</v>
      </c>
      <c r="H11" s="9" t="s">
        <v>850</v>
      </c>
      <c r="I11" s="12" t="s">
        <v>831</v>
      </c>
      <c r="J11" s="9" t="s">
        <v>849</v>
      </c>
      <c r="K11" s="12" t="s">
        <v>838</v>
      </c>
      <c r="L11" s="9" t="s">
        <v>842</v>
      </c>
      <c r="M11" s="12" t="s">
        <v>847</v>
      </c>
      <c r="N11" s="9" t="s">
        <v>864</v>
      </c>
      <c r="O11" s="12" t="s">
        <v>852</v>
      </c>
      <c r="P11" s="9" t="s">
        <v>855</v>
      </c>
      <c r="Q11" s="12" t="s">
        <v>857</v>
      </c>
      <c r="R11" s="9" t="s">
        <v>873</v>
      </c>
      <c r="S11" s="12"/>
      <c r="T11" s="9"/>
      <c r="U11" s="12"/>
      <c r="V11" s="9"/>
      <c r="W11" s="12"/>
      <c r="X11" s="9"/>
      <c r="Y11" s="12"/>
      <c r="Z11" s="9"/>
      <c r="AA11" s="12"/>
      <c r="AB11" s="9"/>
      <c r="AC11" s="12"/>
      <c r="AD11" s="9"/>
      <c r="AE11" s="12"/>
      <c r="AF11" s="9"/>
      <c r="AG11" s="12"/>
      <c r="AH11" s="9"/>
      <c r="AI11" s="12"/>
      <c r="AJ11" s="9"/>
      <c r="AK11" s="12"/>
      <c r="AL11" s="9"/>
      <c r="AM11" s="12"/>
      <c r="AN11" s="9"/>
      <c r="AO11" s="12"/>
      <c r="AP11" s="9"/>
      <c r="AQ11" s="12"/>
      <c r="AR11" s="9"/>
      <c r="AS11" s="12"/>
      <c r="AT11" s="9"/>
      <c r="AU11" s="12"/>
      <c r="AV11" s="9"/>
      <c r="AW11" s="12"/>
      <c r="AX11" s="9"/>
      <c r="AY11" s="12"/>
      <c r="AZ11" s="9"/>
      <c r="BA11" s="12"/>
      <c r="BB11" s="9"/>
      <c r="BC11" s="12"/>
      <c r="BD11" s="9"/>
    </row>
    <row r="12" spans="1:56">
      <c r="A12">
        <v>10</v>
      </c>
      <c r="B12" s="9" t="s">
        <v>816</v>
      </c>
      <c r="C12" s="12" t="s">
        <v>824</v>
      </c>
      <c r="D12" s="9" t="s">
        <v>829</v>
      </c>
      <c r="E12" s="12" t="s">
        <v>836</v>
      </c>
      <c r="F12" s="9" t="s">
        <v>822</v>
      </c>
      <c r="G12" s="12" t="s">
        <v>819</v>
      </c>
      <c r="H12" s="9" t="s">
        <v>825</v>
      </c>
      <c r="I12" s="12" t="s">
        <v>831</v>
      </c>
      <c r="J12" s="9" t="s">
        <v>849</v>
      </c>
      <c r="K12" s="12" t="s">
        <v>838</v>
      </c>
      <c r="L12" s="9" t="s">
        <v>858</v>
      </c>
      <c r="M12" s="12" t="s">
        <v>855</v>
      </c>
      <c r="N12" s="9" t="s">
        <v>857</v>
      </c>
      <c r="O12" s="12"/>
      <c r="P12" s="9"/>
      <c r="Q12" s="12"/>
      <c r="R12" s="9"/>
      <c r="S12" s="12"/>
      <c r="T12" s="9"/>
      <c r="U12" s="12"/>
      <c r="V12" s="9"/>
      <c r="W12" s="12"/>
      <c r="X12" s="9"/>
      <c r="Y12" s="12"/>
      <c r="Z12" s="9"/>
      <c r="AA12" s="12"/>
      <c r="AB12" s="9"/>
      <c r="AC12" s="12"/>
      <c r="AD12" s="9"/>
      <c r="AE12" s="12"/>
      <c r="AF12" s="9"/>
      <c r="AG12" s="12"/>
      <c r="AH12" s="9"/>
      <c r="AI12" s="12"/>
      <c r="AJ12" s="9"/>
      <c r="AK12" s="12"/>
      <c r="AL12" s="9"/>
      <c r="AM12" s="12"/>
      <c r="AN12" s="9"/>
      <c r="AO12" s="12"/>
      <c r="AP12" s="9"/>
      <c r="AQ12" s="12"/>
      <c r="AR12" s="9"/>
      <c r="AS12" s="12"/>
      <c r="AT12" s="9"/>
      <c r="AU12" s="12"/>
      <c r="AV12" s="9"/>
      <c r="AW12" s="12"/>
      <c r="AX12" s="9"/>
      <c r="AY12" s="12"/>
      <c r="AZ12" s="9"/>
      <c r="BA12" s="12"/>
      <c r="BB12" s="9"/>
      <c r="BC12" s="12"/>
      <c r="BD12" s="9"/>
    </row>
    <row r="13" spans="1:56">
      <c r="A13">
        <v>11</v>
      </c>
      <c r="B13" s="9" t="s">
        <v>817</v>
      </c>
      <c r="C13" s="12" t="s">
        <v>823</v>
      </c>
      <c r="D13" s="9" t="s">
        <v>830</v>
      </c>
      <c r="E13" s="12" t="s">
        <v>837</v>
      </c>
      <c r="F13" s="9" t="s">
        <v>816</v>
      </c>
      <c r="G13" s="12" t="s">
        <v>846</v>
      </c>
      <c r="H13" s="9" t="s">
        <v>851</v>
      </c>
      <c r="I13" s="12" t="s">
        <v>818</v>
      </c>
      <c r="J13" s="9" t="s">
        <v>836</v>
      </c>
      <c r="K13" s="12" t="s">
        <v>822</v>
      </c>
      <c r="L13" s="9" t="s">
        <v>861</v>
      </c>
      <c r="M13" s="12" t="s">
        <v>819</v>
      </c>
      <c r="N13" s="9" t="s">
        <v>840</v>
      </c>
      <c r="O13" s="12" t="s">
        <v>865</v>
      </c>
      <c r="P13" s="9" t="s">
        <v>825</v>
      </c>
      <c r="Q13" s="12" t="s">
        <v>870</v>
      </c>
      <c r="R13" s="9" t="s">
        <v>831</v>
      </c>
      <c r="S13" s="12" t="s">
        <v>849</v>
      </c>
      <c r="T13" s="9" t="s">
        <v>838</v>
      </c>
      <c r="U13" s="12" t="s">
        <v>878</v>
      </c>
      <c r="V13" s="9" t="s">
        <v>868</v>
      </c>
      <c r="W13" s="12" t="s">
        <v>869</v>
      </c>
      <c r="X13" s="9" t="s">
        <v>858</v>
      </c>
      <c r="Y13" s="12" t="s">
        <v>882</v>
      </c>
      <c r="Z13" s="9" t="s">
        <v>872</v>
      </c>
      <c r="AA13" s="12" t="s">
        <v>855</v>
      </c>
      <c r="AB13" s="9" t="s">
        <v>866</v>
      </c>
      <c r="AC13" s="12" t="s">
        <v>876</v>
      </c>
      <c r="AD13" s="9" t="s">
        <v>886</v>
      </c>
      <c r="AE13" s="12" t="s">
        <v>887</v>
      </c>
      <c r="AF13" s="9" t="s">
        <v>889</v>
      </c>
      <c r="AG13" s="12" t="s">
        <v>873</v>
      </c>
      <c r="AH13" s="9"/>
      <c r="AI13" s="12"/>
      <c r="AJ13" s="9"/>
      <c r="AK13" s="12"/>
      <c r="AL13" s="9"/>
      <c r="AM13" s="12"/>
      <c r="AN13" s="9"/>
      <c r="AO13" s="12"/>
      <c r="AP13" s="9"/>
      <c r="AQ13" s="12"/>
      <c r="AR13" s="9"/>
      <c r="AS13" s="12"/>
      <c r="AT13" s="9"/>
      <c r="AU13" s="12"/>
      <c r="AV13" s="9"/>
      <c r="AW13" s="12"/>
      <c r="AX13" s="9"/>
      <c r="AY13" s="12"/>
      <c r="AZ13" s="9"/>
      <c r="BA13" s="12"/>
      <c r="BB13" s="9"/>
      <c r="BC13" s="12"/>
      <c r="BD13" s="9"/>
    </row>
    <row r="14" spans="1:56">
      <c r="A14">
        <v>12</v>
      </c>
      <c r="B14" s="10" t="s">
        <v>817</v>
      </c>
      <c r="C14" s="13" t="s">
        <v>816</v>
      </c>
      <c r="D14" s="10" t="s">
        <v>821</v>
      </c>
      <c r="E14" s="13" t="s">
        <v>828</v>
      </c>
      <c r="F14" s="10" t="s">
        <v>819</v>
      </c>
      <c r="G14" s="13" t="s">
        <v>825</v>
      </c>
      <c r="H14" s="10" t="s">
        <v>831</v>
      </c>
      <c r="I14" s="13" t="s">
        <v>838</v>
      </c>
      <c r="J14" s="10" t="s">
        <v>842</v>
      </c>
      <c r="K14" s="13" t="s">
        <v>847</v>
      </c>
      <c r="L14" s="10" t="s">
        <v>862</v>
      </c>
      <c r="M14" s="13" t="s">
        <v>858</v>
      </c>
      <c r="N14" s="10" t="s">
        <v>855</v>
      </c>
      <c r="O14" s="13" t="s">
        <v>866</v>
      </c>
      <c r="P14" s="10" t="s">
        <v>857</v>
      </c>
      <c r="Q14" s="13"/>
      <c r="R14" s="10"/>
      <c r="S14" s="13"/>
      <c r="T14" s="10"/>
      <c r="U14" s="13"/>
      <c r="V14" s="10"/>
      <c r="W14" s="13"/>
      <c r="X14" s="10"/>
      <c r="Y14" s="13"/>
      <c r="Z14" s="10"/>
      <c r="AA14" s="13"/>
      <c r="AB14" s="10"/>
      <c r="AC14" s="13"/>
      <c r="AD14" s="10"/>
      <c r="AE14" s="13"/>
      <c r="AF14" s="10"/>
      <c r="AG14" s="13"/>
      <c r="AH14" s="10"/>
      <c r="AI14" s="13"/>
      <c r="AJ14" s="10"/>
      <c r="AK14" s="13"/>
      <c r="AL14" s="10"/>
      <c r="AM14" s="13"/>
      <c r="AN14" s="10"/>
      <c r="AO14" s="13"/>
      <c r="AP14" s="10"/>
      <c r="AQ14" s="13"/>
      <c r="AR14" s="10"/>
      <c r="AS14" s="13"/>
      <c r="AT14" s="10"/>
      <c r="AU14" s="13"/>
      <c r="AV14" s="10"/>
      <c r="AW14" s="13"/>
      <c r="AX14" s="10"/>
      <c r="AY14" s="13"/>
      <c r="AZ14" s="10"/>
      <c r="BA14" s="13"/>
      <c r="BB14" s="10"/>
      <c r="BC14" s="13"/>
      <c r="BD14" s="10"/>
    </row>
  </sheetData>
  <mergeCells count="1">
    <mergeCell ref="B1:B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DB313-FB53-4C3B-AECC-97309216A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IZSPLV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Romano Angelo</dc:creator>
  <cp:keywords/>
  <dc:description/>
  <cp:lastModifiedBy/>
  <cp:revision/>
  <dcterms:created xsi:type="dcterms:W3CDTF">2024-01-22T09:03:35Z</dcterms:created>
  <dcterms:modified xsi:type="dcterms:W3CDTF">2024-10-01T14:33:23Z</dcterms:modified>
  <cp:category/>
  <cp:contentStatus/>
</cp:coreProperties>
</file>